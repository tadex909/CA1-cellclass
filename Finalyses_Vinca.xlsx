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X:\MATLAB\Data\All_data_final\"/>
    </mc:Choice>
  </mc:AlternateContent>
  <xr:revisionPtr revIDLastSave="0" documentId="13_ncr:1_{EE14B827-172E-4A46-84EF-655F97B13186}" xr6:coauthVersionLast="47" xr6:coauthVersionMax="47" xr10:uidLastSave="{00000000-0000-0000-0000-000000000000}"/>
  <bookViews>
    <workbookView xWindow="-120" yWindow="-120" windowWidth="29040" windowHeight="15840" xr2:uid="{DADD2D47-7035-4D09-8154-C12446117D07}"/>
  </bookViews>
  <sheets>
    <sheet name="Feuil1" sheetId="1" r:id="rId1"/>
    <sheet name="Feuil7" sheetId="7" r:id="rId2"/>
    <sheet name="Feuil2" sheetId="2" r:id="rId3"/>
    <sheet name="Feuil3" sheetId="3" r:id="rId4"/>
    <sheet name="Feuil4" sheetId="4" r:id="rId5"/>
    <sheet name="Feuil5" sheetId="5" r:id="rId6"/>
    <sheet name="Feuil6" sheetId="6" r:id="rId7"/>
  </sheets>
  <definedNames>
    <definedName name="_xlnm._FilterDatabase" localSheetId="0" hidden="1">Feuil1!$A$1:$AK$87</definedName>
    <definedName name="_xlchart.v1.0" hidden="1">Feuil5!$D$1</definedName>
    <definedName name="_xlchart.v1.1" hidden="1">Feuil5!$D$2:$D$16</definedName>
    <definedName name="_xlchart.v1.2" hidden="1">Feuil5!$E$1</definedName>
    <definedName name="_xlchart.v1.3" hidden="1">Feuil5!$E$2:$E$16</definedName>
    <definedName name="_xlchart.v1.4" hidden="1">Feuil5!$F$1</definedName>
    <definedName name="_xlchart.v1.5" hidden="1">Feuil5!$F$2:$F$16</definedName>
    <definedName name="_xlchart.v1.6" hidden="1">Feuil5!$G$1</definedName>
    <definedName name="_xlchart.v1.7" hidden="1">Feuil5!$G$2:$G$16</definedName>
    <definedName name="_xlchart.v1.8" hidden="1">Feuil5!$H$1</definedName>
    <definedName name="_xlchart.v1.9" hidden="1">Feuil5!$H$2:$H$16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" l="1"/>
  <c r="V5" i="1"/>
  <c r="V4" i="1"/>
  <c r="V3" i="1"/>
  <c r="V79" i="1"/>
  <c r="V74" i="1"/>
  <c r="V73" i="1"/>
  <c r="V67" i="1"/>
  <c r="V66" i="1"/>
  <c r="V52" i="1"/>
  <c r="V43" i="1"/>
  <c r="V24" i="1"/>
  <c r="V23" i="1"/>
  <c r="V10" i="1"/>
  <c r="V42" i="1"/>
  <c r="V31" i="1"/>
  <c r="V2" i="1"/>
  <c r="V16" i="1"/>
  <c r="V9" i="1"/>
  <c r="V41" i="1"/>
  <c r="V30" i="1"/>
  <c r="V22" i="1"/>
  <c r="V15" i="1"/>
  <c r="V14" i="1"/>
  <c r="V83" i="1"/>
  <c r="V78" i="1"/>
  <c r="V72" i="1"/>
  <c r="V65" i="1"/>
  <c r="V58" i="1"/>
  <c r="V49" i="1"/>
  <c r="V51" i="1"/>
  <c r="V40" i="1"/>
  <c r="V50" i="1"/>
  <c r="V39" i="1"/>
  <c r="V21" i="1"/>
  <c r="V13" i="1"/>
  <c r="V64" i="1"/>
  <c r="V59" i="1"/>
  <c r="V60" i="1"/>
  <c r="V38" i="1"/>
  <c r="V8" i="1"/>
  <c r="V6" i="1"/>
  <c r="V7" i="1"/>
  <c r="V20" i="1"/>
  <c r="V37" i="1"/>
  <c r="V85" i="1"/>
  <c r="V82" i="1"/>
  <c r="V36" i="1"/>
  <c r="V29" i="1"/>
  <c r="V28" i="1"/>
  <c r="V19" i="1"/>
  <c r="V48" i="1"/>
  <c r="V35" i="1"/>
  <c r="V57" i="1"/>
  <c r="V47" i="1"/>
  <c r="V87" i="1"/>
  <c r="V86" i="1"/>
  <c r="V34" i="1"/>
  <c r="V18" i="1"/>
  <c r="V11" i="1"/>
  <c r="V33" i="1"/>
  <c r="V27" i="1"/>
  <c r="V26" i="1"/>
  <c r="V17" i="1"/>
  <c r="V77" i="1"/>
  <c r="V71" i="1"/>
  <c r="V76" i="1"/>
  <c r="V70" i="1"/>
  <c r="V63" i="1"/>
  <c r="V55" i="1"/>
  <c r="V56" i="1"/>
  <c r="V46" i="1"/>
  <c r="V45" i="1"/>
  <c r="V69" i="1"/>
  <c r="V62" i="1"/>
  <c r="V54" i="1"/>
  <c r="V81" i="1"/>
  <c r="V75" i="1"/>
  <c r="V68" i="1"/>
  <c r="V61" i="1"/>
  <c r="V53" i="1"/>
  <c r="V44" i="1"/>
  <c r="V32" i="1"/>
  <c r="V25" i="1"/>
  <c r="V84" i="1"/>
  <c r="V80" i="1"/>
  <c r="M7" i="6" l="1"/>
  <c r="N7" i="6"/>
  <c r="O7" i="6"/>
  <c r="P7" i="6"/>
  <c r="G74" i="6"/>
  <c r="H74" i="6"/>
  <c r="F74" i="6"/>
  <c r="E74" i="6"/>
  <c r="E15" i="6"/>
  <c r="F53" i="6"/>
  <c r="H53" i="6"/>
  <c r="G53" i="6"/>
  <c r="E53" i="6"/>
  <c r="G34" i="6"/>
  <c r="H34" i="6"/>
  <c r="F34" i="6"/>
  <c r="E34" i="6"/>
  <c r="G15" i="6"/>
  <c r="H15" i="6"/>
  <c r="F15" i="6"/>
  <c r="Q19" i="2" l="1"/>
  <c r="Q16" i="2"/>
  <c r="Q13" i="2"/>
  <c r="Q10" i="2"/>
  <c r="Q7" i="2"/>
  <c r="Q4" i="2"/>
  <c r="L21" i="2"/>
  <c r="M21" i="2"/>
  <c r="K21" i="2"/>
  <c r="O19" i="2"/>
  <c r="O16" i="2"/>
  <c r="O13" i="2"/>
  <c r="O10" i="2"/>
  <c r="O7" i="2"/>
  <c r="O4" i="2"/>
  <c r="N19" i="2"/>
  <c r="N16" i="2"/>
  <c r="N13" i="2"/>
  <c r="N10" i="2"/>
  <c r="N7" i="2"/>
  <c r="N4" i="2"/>
  <c r="G77" i="2"/>
  <c r="H77" i="2"/>
  <c r="F77" i="2"/>
  <c r="G72" i="2"/>
  <c r="H72" i="2"/>
  <c r="F72" i="2"/>
  <c r="G55" i="2"/>
  <c r="H55" i="2"/>
  <c r="F55" i="2"/>
  <c r="G36" i="2"/>
  <c r="H36" i="2"/>
  <c r="F36" i="2"/>
  <c r="G24" i="2"/>
  <c r="H24" i="2"/>
  <c r="F24" i="2"/>
  <c r="H11" i="2"/>
  <c r="G11" i="2"/>
  <c r="F11" i="2"/>
</calcChain>
</file>

<file path=xl/sharedStrings.xml><?xml version="1.0" encoding="utf-8"?>
<sst xmlns="http://schemas.openxmlformats.org/spreadsheetml/2006/main" count="1045" uniqueCount="478">
  <si>
    <t>session_name</t>
  </si>
  <si>
    <t>Age</t>
  </si>
  <si>
    <t>Wheel/ball</t>
  </si>
  <si>
    <t>probe</t>
  </si>
  <si>
    <t>cont or dat</t>
  </si>
  <si>
    <t>VS01_2021-10-20_11-20-39</t>
  </si>
  <si>
    <t>VS01_2021-10-22_15-14-44</t>
  </si>
  <si>
    <t>W</t>
  </si>
  <si>
    <t>cont</t>
  </si>
  <si>
    <t>VS01_2021-10-21_12-11-22</t>
  </si>
  <si>
    <t>VS11_2022-02-10_17-46-04</t>
  </si>
  <si>
    <t>VS12_2022-02-25_16-05-36</t>
  </si>
  <si>
    <t>VS12_2022-02-26_12-01-52</t>
  </si>
  <si>
    <t>VS15_2022-03-01_16-02-15</t>
  </si>
  <si>
    <t>VS15_2022-03-02_18-18-27</t>
  </si>
  <si>
    <t>VS20_2022-03-30_17-15-08</t>
  </si>
  <si>
    <t>VS38_2022-10-02_18-30-08</t>
  </si>
  <si>
    <t>VS38_2022-10-03_16-06-22</t>
  </si>
  <si>
    <t>VS40_2022-10-12_17-39-00</t>
  </si>
  <si>
    <t>VS40_2022-10-13_17-47-32</t>
  </si>
  <si>
    <t>VS41_2022-10-13_19-42-08</t>
  </si>
  <si>
    <t>VS41_2022-10-14_17-39-22</t>
  </si>
  <si>
    <t>VS47_2022-11-19_19-32-44</t>
  </si>
  <si>
    <t>VS47_2022-11-20_18-00-29</t>
  </si>
  <si>
    <t>VS57_2022-12-18_18-51-04</t>
  </si>
  <si>
    <t>B</t>
  </si>
  <si>
    <t>VS58_2022-12-22_15-48-57</t>
  </si>
  <si>
    <t>VS58_2022-12-21_15-58-34</t>
  </si>
  <si>
    <t>VS60_2023-02-03_18-38-41</t>
  </si>
  <si>
    <t>VS61_2023-02-08_16-55-37</t>
  </si>
  <si>
    <t>VS61_2023-02-09_17-18-50</t>
  </si>
  <si>
    <t>VS64_2023-02-14_18-04-10</t>
  </si>
  <si>
    <t>VS64_2023-02-15_17-07-03</t>
  </si>
  <si>
    <t>VS65_2023-02-15_18-41-14</t>
  </si>
  <si>
    <t>VS65_2023-02-16_14-55-46</t>
  </si>
  <si>
    <t>VS66_2023-02-20_17-36-59</t>
  </si>
  <si>
    <t>VS66_2023-02-21_17-55-45</t>
  </si>
  <si>
    <t>VS67_2023-02-20_19-17-18</t>
  </si>
  <si>
    <t>VS67_2023-02-21_20-00-15</t>
  </si>
  <si>
    <t>VS68_2023-02-22_16-56-07</t>
  </si>
  <si>
    <t>VS68_2023-02-23_18-54-54</t>
  </si>
  <si>
    <t>VS69_2023-02-23_11-55-40</t>
  </si>
  <si>
    <t>VS69_2023-02-24_12-16-41</t>
  </si>
  <si>
    <t>VS70_2023-02-24_18-36-38</t>
  </si>
  <si>
    <t>VS73_2023-03-20_17-51-52</t>
  </si>
  <si>
    <t>VS73_2023-03-21_19-53-41</t>
  </si>
  <si>
    <t>VS75_2023-03-22_17-27-32</t>
  </si>
  <si>
    <t>VS80_2023-04-25_17-51-58</t>
  </si>
  <si>
    <t>dat</t>
  </si>
  <si>
    <t>VS83_2023-05-11_17-15-49</t>
  </si>
  <si>
    <t>VS83_2023-05-12_17-28-23</t>
  </si>
  <si>
    <t>VS88_2023-10-30_17-02-23</t>
  </si>
  <si>
    <t>VS90_2024-01-11_17-51-57</t>
  </si>
  <si>
    <t>VS90_2024-01-12_17-40-42</t>
  </si>
  <si>
    <t>VS98_2024-05-15_17-29-02</t>
  </si>
  <si>
    <t>VS98_2024-05-16_14-48-36</t>
  </si>
  <si>
    <t>VS99_2024-11-02_15-41-34</t>
  </si>
  <si>
    <t>VS99_2024-11-03_13-46-40</t>
  </si>
  <si>
    <t>VS100_2024-11-03_14-40-11</t>
  </si>
  <si>
    <t>VS100_2024-11-04_15-23-28</t>
  </si>
  <si>
    <t>VS101_2024-11-04_16-46-04</t>
  </si>
  <si>
    <t>VS101_2024-11-05_17-44-14</t>
  </si>
  <si>
    <t>VS102_2024-11-05_18-59-31</t>
  </si>
  <si>
    <t>VS102_2024-11-07_16-01-28</t>
  </si>
  <si>
    <t>VS103_2024-11-08_16-05-55</t>
  </si>
  <si>
    <t>VS103_2024-11-10_14-58-13</t>
  </si>
  <si>
    <t>VS104_2024-11-10_16-39-46</t>
  </si>
  <si>
    <t>VS106_2024-11-12_14-55-21</t>
  </si>
  <si>
    <t>VS109_2024-12-20_17-20-40</t>
  </si>
  <si>
    <t>VS109_2024-12-21_17-14-39</t>
  </si>
  <si>
    <t>VS110_2024-12-23_16-30-17</t>
  </si>
  <si>
    <t>VS111_2024-12-24_15-13-11</t>
  </si>
  <si>
    <t>VS112_2025-01-10_15-36-28</t>
  </si>
  <si>
    <t>VS112_2025-01-11_16-28-44</t>
  </si>
  <si>
    <t>VS114_2025-01-12_16-10-36</t>
  </si>
  <si>
    <t>VS114_2025-01-13_15-46-23</t>
  </si>
  <si>
    <t>VS115_2025-01-13_16-51-03</t>
  </si>
  <si>
    <t>VS116_2025-02-22_18-19-46</t>
  </si>
  <si>
    <t>VS116_2025-02-23_18-33-27</t>
  </si>
  <si>
    <t>VS118_2025-02-24_18-20-07</t>
  </si>
  <si>
    <t>VS118_2025-02-25_17-38-19</t>
  </si>
  <si>
    <t>VS120_2025-02-27_15-50-26</t>
  </si>
  <si>
    <t>VS120_2025-02-28_15-59-01</t>
  </si>
  <si>
    <t>VS121_2025-02-27_17-25-48</t>
  </si>
  <si>
    <t>VS121_2025-02-28_18-15-13</t>
  </si>
  <si>
    <t>VS125_2025-04-04_15-39-27</t>
  </si>
  <si>
    <t>VS125_2025-04-05_14-39-56</t>
  </si>
  <si>
    <t>Familiar environment</t>
  </si>
  <si>
    <t>[environments ]</t>
  </si>
  <si>
    <t>[nb of rewards]</t>
  </si>
  <si>
    <t>PO_NOTree'</t>
  </si>
  <si>
    <t>[PO_NOTREE]</t>
  </si>
  <si>
    <t>[12]</t>
  </si>
  <si>
    <t>[19] --&gt; [27]</t>
  </si>
  <si>
    <t>[28] --&gt; [19]</t>
  </si>
  <si>
    <t>PO</t>
  </si>
  <si>
    <t>[PO]</t>
  </si>
  <si>
    <t>[10]</t>
  </si>
  <si>
    <t>[PO;PO;PO_NOTREE;PNO;PO]</t>
  </si>
  <si>
    <t>[21;20;22;21;20]</t>
  </si>
  <si>
    <t>[NA]</t>
  </si>
  <si>
    <t>[PO;PO;PNO;PO]</t>
  </si>
  <si>
    <t>[20;10;10;5]</t>
  </si>
  <si>
    <t>[20]</t>
  </si>
  <si>
    <t>[PO;PNO]</t>
  </si>
  <si>
    <t>[20;5]</t>
  </si>
  <si>
    <t>[13]</t>
  </si>
  <si>
    <t>[20;20;20;20]</t>
  </si>
  <si>
    <t>[PO;PO;x]</t>
  </si>
  <si>
    <t>[20;10;0]</t>
  </si>
  <si>
    <t>[]</t>
  </si>
  <si>
    <t>[20] --&gt; [21]</t>
  </si>
  <si>
    <t>[25;20;20;20]</t>
  </si>
  <si>
    <t>[PO;PNO;PO]</t>
  </si>
  <si>
    <t>[26;20;10]</t>
  </si>
  <si>
    <t>[PO;PO]</t>
  </si>
  <si>
    <t>[20;20]</t>
  </si>
  <si>
    <t>[PO;PO;PNO]</t>
  </si>
  <si>
    <t>[20;20;20]</t>
  </si>
  <si>
    <t>[30;20;20]</t>
  </si>
  <si>
    <t>[21;20;20;20]</t>
  </si>
  <si>
    <t>[21]</t>
  </si>
  <si>
    <t>[20;10]</t>
  </si>
  <si>
    <t>X</t>
  </si>
  <si>
    <t>[22]</t>
  </si>
  <si>
    <t>[POnM;POMb]</t>
  </si>
  <si>
    <t>[21;20]</t>
  </si>
  <si>
    <t>[15]</t>
  </si>
  <si>
    <t>[21;26] selon analyse = [21;5]</t>
  </si>
  <si>
    <t>[21;5]</t>
  </si>
  <si>
    <t>[21;10]</t>
  </si>
  <si>
    <t>[POnM9;POM;POnM9;POM]</t>
  </si>
  <si>
    <t>[9;10/11;9;11]</t>
  </si>
  <si>
    <t>[9;9;9;11]</t>
  </si>
  <si>
    <t>[PonM9;POM;POnM9;POM]</t>
  </si>
  <si>
    <t>[9;11;9;5]</t>
  </si>
  <si>
    <t>[9;10;9;6]</t>
  </si>
  <si>
    <t>[POnM9;POM;POnM9;POM;PNO]</t>
  </si>
  <si>
    <t>[9;12;9;12;11]</t>
  </si>
  <si>
    <t>[POnM9;POM]</t>
  </si>
  <si>
    <t>[9;12]</t>
  </si>
  <si>
    <t>[9;10]</t>
  </si>
  <si>
    <t>[POnM9;POM;PO]</t>
  </si>
  <si>
    <t>[9;12;20]</t>
  </si>
  <si>
    <t>[POnM9;POM;PO;POnM;POM]</t>
  </si>
  <si>
    <t>[9;11;21;9;11]</t>
  </si>
  <si>
    <t>[9;5]</t>
  </si>
  <si>
    <t>[9;11]</t>
  </si>
  <si>
    <t>[9;6]</t>
  </si>
  <si>
    <t>[9;9]</t>
  </si>
  <si>
    <t>latéralité</t>
  </si>
  <si>
    <t>loc</t>
  </si>
  <si>
    <t>right</t>
  </si>
  <si>
    <t>left</t>
  </si>
  <si>
    <t>CA2 sauf dernier shank; maybe trop profond</t>
  </si>
  <si>
    <t xml:space="preserve">good CA1 b </t>
  </si>
  <si>
    <t>NA</t>
  </si>
  <si>
    <t>droite = ca1a/b</t>
  </si>
  <si>
    <t>ca1couGD?</t>
  </si>
  <si>
    <t>good ca1 b/c</t>
  </si>
  <si>
    <t>good shanks plus grands = top; sinon trop antérieur maybe</t>
  </si>
  <si>
    <t>trop antérieur; shanks grands = ok sinon CA3</t>
  </si>
  <si>
    <t>surement good; maybe 2 premiers shanks dans CA3 mais2 derniers = good</t>
  </si>
  <si>
    <t>CA1 antérieur +</t>
  </si>
  <si>
    <t>CA1 un peu antérieur</t>
  </si>
  <si>
    <t>maybe CA2 pour 3 premiers shanks</t>
  </si>
  <si>
    <t xml:space="preserve">CA2 et CA1a </t>
  </si>
  <si>
    <t xml:space="preserve">pas de dii mais strès surement pile milieu CA1 </t>
  </si>
  <si>
    <t>CA2</t>
  </si>
  <si>
    <t>good CA1 b/c</t>
  </si>
  <si>
    <t>good CA1</t>
  </si>
  <si>
    <t>CA1a</t>
  </si>
  <si>
    <t>très antérieur</t>
  </si>
  <si>
    <t xml:space="preserve">CA1 </t>
  </si>
  <si>
    <t>check</t>
  </si>
  <si>
    <t>SC</t>
  </si>
  <si>
    <t>Traj</t>
  </si>
  <si>
    <t>Pheno</t>
  </si>
  <si>
    <t>Ephy</t>
  </si>
  <si>
    <t>Ratemap</t>
  </si>
  <si>
    <t>doselect pop analyse</t>
  </si>
  <si>
    <t>nb cells tot</t>
  </si>
  <si>
    <t>nb PC</t>
  </si>
  <si>
    <t>/</t>
  </si>
  <si>
    <t>[9;11;9;11]--&gt;[9;11;9;7]</t>
  </si>
  <si>
    <t>[20]--&gt; [21]</t>
  </si>
  <si>
    <t>[?]--&gt;[25]</t>
  </si>
  <si>
    <t>[]--&gt;[20]</t>
  </si>
  <si>
    <t>behav_quality</t>
  </si>
  <si>
    <t>CA1</t>
  </si>
  <si>
    <t>SUREMENT CA1</t>
  </si>
  <si>
    <t>pas vu dii mais déformation ca1</t>
  </si>
  <si>
    <t>voir plus tard car pb ; maybe lire que à partir d'un certain point</t>
  </si>
  <si>
    <t>nb pyr</t>
  </si>
  <si>
    <t>[80]  (je vais faire [40;40])</t>
  </si>
  <si>
    <t>[100]--&gt;97 (je vais faire [40;40;20]</t>
  </si>
  <si>
    <t>[20;10;2]--&gt;[20PO]</t>
  </si>
  <si>
    <t>path</t>
  </si>
  <si>
    <t>X:\MATLAB\Data\Data_raw\VS01\VS01_2021-10-20_11-20-39</t>
  </si>
  <si>
    <t>X:\MATLAB\Data\Data_raw\VS01\VS01_2021-10-21_12-11-22</t>
  </si>
  <si>
    <t>X:\MATLAB\Data\Data_raw\VS01\VS01_2021-10-22_15-14-44</t>
  </si>
  <si>
    <t>X:\MATLAB\Data\Data_raw\VS11\VS11_2022-02-10_17-46-04</t>
  </si>
  <si>
    <t>X:\MATLAB\Data\Data_raw\VS12\VS12_2022-02-25_16-05-36</t>
  </si>
  <si>
    <t>X:\MATLAB\Data\Data_raw\VS12\VS12_2022-02-26_12-01-52</t>
  </si>
  <si>
    <t>X:\MATLAB\Data\Data_raw\VS15\VS15_2022-03-01_16-02-15</t>
  </si>
  <si>
    <t>X:\MATLAB\Data\Data_raw\VS15\VS15_2022-03-02_18-18-27</t>
  </si>
  <si>
    <t>X:\MATLAB\Data\Data_raw\VS20\VS20_2022-03-30_17-15-08</t>
  </si>
  <si>
    <t>X:\MATLAB\Data\Data_raw\VS38\VS38_2022-10-02_18-30-08</t>
  </si>
  <si>
    <t>X:\MATLAB\Data\Data_raw\VS38\VS38_2022-10-03_16-06-22\Record_Node_104\experiment1\recording1\continuous\Rhythm_FPGA-101.0</t>
  </si>
  <si>
    <t>X:\MATLAB\Data\Data_raw\VS40\VS40_2022-10-12_17-39-00\Record Node 104\experiment1\recording1\continuous\Rhythm_FPGA-101.0</t>
  </si>
  <si>
    <t>X:\MATLAB\Data\Data_raw\VS40\VS40_2022-10-13_17-47-32</t>
  </si>
  <si>
    <t>X:\MATLAB\Data\Data_raw\VS41\VS41_2022-10-13_19-42-08\Record Node 104</t>
  </si>
  <si>
    <t>X:\MATLAB\Data\Data_raw\VS41\VS41_2022-10-14_17-39-22</t>
  </si>
  <si>
    <t>X:\MATLAB\Data\Data_raw\VS47\VS47_2022-11-19_19-32-44\Record_Node_104</t>
  </si>
  <si>
    <t>X:\MATLAB\Data\Data_raw\VS47\VS47_2022-11-20_18-00-29</t>
  </si>
  <si>
    <t>X:\MATLAB\Data\Data_raw\VS57\VS57_2022-12-18_18-51-04\Record Node 104\experiment1\recording1\continuous\Rhythm_FPGA-101.0</t>
  </si>
  <si>
    <t>X:\MATLAB\Data\Data_raw\VS57\VS57_2022-12-19_16-30-47</t>
  </si>
  <si>
    <t>X:\MATLAB\Data\Data_raw\VS58\VS58_2022-12-22_15-48-57</t>
  </si>
  <si>
    <t>X:\MATLAB\Data\Data_raw\VS58\VS58_2022-12-21_15-58-34</t>
  </si>
  <si>
    <t>X:\MATLAB\Data\Data_raw\VS60\VS60_2023-02-03_18-38-41</t>
  </si>
  <si>
    <t>X:\MATLAB\Data\Data_raw\VS61\VS61_2023-02-08_16-55-37</t>
  </si>
  <si>
    <t>X:\MATLAB\Data\Data_raw\VS61\VS61_2023-02-09_17-18-50</t>
  </si>
  <si>
    <t>X:\MATLAB\Data\Data_raw\VS64\VS64_2023-02-14_18-04-10</t>
  </si>
  <si>
    <t>X:\MATLAB\Data\Data_raw\VS64\VS64_2023-02-15_17-07-03</t>
  </si>
  <si>
    <t>X:\MATLAB\Data\Data_raw\VS65\VS65_2023-02-15_18-41-14</t>
  </si>
  <si>
    <t>X:\MATLAB\Data\Data_raw\VS65\VS65_2023-02-16_14-55-46</t>
  </si>
  <si>
    <t>X:\MATLAB\Data\Data_raw\VS66\VS66_2023-02-20_17-36-59</t>
  </si>
  <si>
    <t>X:\MATLAB\Data\Data_raw\VS66\VS66_2023-02-21_17-55-45</t>
  </si>
  <si>
    <t>X:\MATLAB\Data\Data_raw\VS67\VS67_2023-02-21_20-00-15\Record_Node_104</t>
  </si>
  <si>
    <t>X:\MATLAB\Data\Data_raw\VS67\VS67_2023-02-20_19-17-18\Record_Node_104</t>
  </si>
  <si>
    <t>X:\MATLAB\Data\Data_raw\VS68\VS68_2023-02-22_16-56-07\Record_Node_104</t>
  </si>
  <si>
    <t>X:\MATLAB\Data\Data_raw\VS68\VS68_2023-02-23_18-54-54\Record_Node_104</t>
  </si>
  <si>
    <t>X:\MATLAB\Data\Data_raw\VS69\VS69_2023-02-23_11-55-40\Record Node 104</t>
  </si>
  <si>
    <t>X:\MATLAB\Data\Data_raw\VS69\VS69_2023-02-24_12-16-41\Record_Node_105</t>
  </si>
  <si>
    <t>X:\MATLAB\Data\Data_raw\VS70\VS70_2023-02-24_18-36-38\Record_Node_104</t>
  </si>
  <si>
    <t>X:\MATLAB\Data\Data_raw\VS73\VS73_2023-03-20_17-51-52\Record_Node_104</t>
  </si>
  <si>
    <t>X:\MATLAB\Data\Data_raw\VS73\VS73_2023-03-21_19-53-41\Record_Node_104</t>
  </si>
  <si>
    <t>X:\MATLAB\Data\Data_raw\VS75\VS75_2023-03-22_17-27-32\Record_Node_104</t>
  </si>
  <si>
    <t>X:\MATLAB\Data\Data_raw\VS80\VS80_2023-04-25_17-51-58\Record_Node_104\experiment1\recording1\continuous\Rhythm_FPGA-101.0</t>
  </si>
  <si>
    <t>X:\MATLAB\Data\Data_raw\VS83\VS83_2023-05-11_17-15-49\Record Node 104</t>
  </si>
  <si>
    <t>X:\MATLAB\Data\Data_raw\VS83\VS83_2023-05-12_17-28-23\Record Node 104</t>
  </si>
  <si>
    <t>X:\MATLAB\Data\Data_raw\VS88\VS88_2023-10-30_17-02-23\Record_Node_104\experiment1\recording1\continuous\Rhythm_FPGA-101.0</t>
  </si>
  <si>
    <t>X:\MATLAB\Data\Data_raw\VS90\VS90_2024-01-11_17-51-57\Record_Node_104</t>
  </si>
  <si>
    <t>X:\MATLAB\Data\Data_raw\VS90\VS90_2024-01-12_17-40-42\Record_Node_104</t>
  </si>
  <si>
    <t>X:\MATLAB\Data\Data_raw\VS101\VS101_2024-11-05_17-44-14\Record_Node_104</t>
  </si>
  <si>
    <t>X:\MATLAB\Data\Data_raw\VS103\VS103_2024-11-10_14-58-13\Record_Node_104</t>
  </si>
  <si>
    <t>X:\MATLAB\Data\Data_raw\VS106\VS106_2024-11-12_14-55-21\Record_Node_104</t>
  </si>
  <si>
    <t>X:\MATLAB\Data\Data_raw\VS98\VS98_2024-05-15_17-29-02\Record_Node_104\experiment1\recording1\continuous\Rhythm_FPGA-101.0</t>
  </si>
  <si>
    <t>X:\MATLAB\Data\Data_raw\VS98\VS98_2024-05-16_14-48-36\Record_Node_104</t>
  </si>
  <si>
    <t>X:\MATLAB\Data\Data_raw\VS99\VS99_2024-11-02_15-41-34\Record_Node_103\experiment1\recording1\continuous\Rhythm_FPGA-100.0</t>
  </si>
  <si>
    <t>X:\MATLAB\Data\Data_raw\VS99\VS99_2024-11-03_13-46-40\Record_Node_104\experiment1\recording1\continuous\Rhythm_FPGA-101.0</t>
  </si>
  <si>
    <t>X:\MATLAB\Data\Data_raw\VS100\VS100_2024-11-03_14-40-11\Record_Node_103\experiment1\recording1\continuous\Rhythm_FPGA-100.0</t>
  </si>
  <si>
    <t>X:\MATLAB\Data\Data_raw\VS100\VS100_2024-11-04_15-23-28\Record_Node_104\experiment1\recording1\continuous\Rhythm_FPGA-101.0</t>
  </si>
  <si>
    <t>X:\MATLAB\Data\Data_raw\VS101\VS101_2024-11-04_16-46-04\Record_Node_103\experiment1\recording1\continuous\Rhythm_FPGA-100.0</t>
  </si>
  <si>
    <t>X:\MATLAB\Data\Data_raw\VS102\VS102_2024-11-05_18-59-31\Record_Node_103\experiment1\recording1\continuous\Rhythm_FPGA-100.0</t>
  </si>
  <si>
    <t>X:\MATLAB\Data\Data_raw\VS102\VS102_2024-11-07_16-01-28\Record_Node_103\experiment1\recording1\continuous\Rhythm_FPGA-100.0</t>
  </si>
  <si>
    <t>X:\MATLAB\Data\Data_raw\VS103\VS103_2024-11-08_16-05-55\Record_Node_103\experiment1\recording1\continuous\Rhythm_FPGA-100.0</t>
  </si>
  <si>
    <t>X:\MATLAB\Data\Data_raw\VS104\VS104_2024-11-10_16-39-46\Record_Node_103\experiment1\recording1\continuous\Rhythm_FPGA-100.0</t>
  </si>
  <si>
    <t>X:\MATLAB\Data\Data_raw\VS109\VS109_2024-12-20_17-20-40\Record_Node_104\experiment1\recording1\continuous\Rhythm_FPGA-101.0</t>
  </si>
  <si>
    <t>X:\MATLAB\Data\Data_raw\VS109\VS109_2024-12-21_17-14-39\Record_Node_103\experiment1\recording1\continuous\Rhythm_FPGA-100.0</t>
  </si>
  <si>
    <t>X:\MATLAB\Data\Data_raw\VS110\VS110_2024-12-23_16-30-17\Record_Node_104\experiment1\recording1\continuous\Rhythm_FPGA-101.0</t>
  </si>
  <si>
    <t>X:\MATLAB\Data\Data_raw\VS111\VS111_2024-12-24_15-13-11\Record_Node_104\experiment1\recording1\continuous\Rhythm_FPGA-101.0</t>
  </si>
  <si>
    <t>X:\MATLAB\Data\Data_raw\VS112\VS112_2025-01-10_15-36-28\Record Node 103\experiment1\recording1\continuous\Rhythm_FPGA-100.0</t>
  </si>
  <si>
    <t>X:\MATLAB\Data\Data_raw\VS112\VS112_2025-01-11_16-28-44\Record Node 104\experiment1\recording1\continuous\Rhythm_FPGA-101.0</t>
  </si>
  <si>
    <t>X:\MATLAB\Data\Data_raw\VS114\VS114_2025-01-12_16-10-36\Record Node 103\experiment1\recording1\continuous\Rhythm_FPGA-100.0</t>
  </si>
  <si>
    <t>X:\MATLAB\Data\Data_raw\VS114\VS114_2025-01-13_15-46-23\Record Node 104\experiment1\recording1\continuous\Rhythm_FPGA-101.0</t>
  </si>
  <si>
    <t>X:\MATLAB\Data\Data_raw\VS115\VS115_2025-01-13_16-51-03\Record_Node_103\experiment1\recording1\continuous\Rhythm_FPGA-100.0</t>
  </si>
  <si>
    <t>X:\MATLAB\Data\Data_raw\VS116\VS116_2025-02-22_18-19-46\Record Node 103\experiment1\recording1\continuous\Rhythm_FPGA-100.0</t>
  </si>
  <si>
    <t>X:\MATLAB\Data\Data_raw\VS116\VS116_2025-02-23_18-33-27\Record Node 104\experiment1\recording1\continuous\Rhythm_FPGA-101.0</t>
  </si>
  <si>
    <t>X:\MATLAB\Data\Data_raw\VS118\VS118_2025-02-24_18-20-07\Record Node 104\experiment1\recording1\continuous\Rhythm_FPGA-101.0</t>
  </si>
  <si>
    <t>X:\MATLAB\Data\Data_raw\VS118\VS118_2025-02-25_17-38-19\Record Node 103\experiment1\recording1\continuous\Rhythm_FPGA-100.0</t>
  </si>
  <si>
    <t>X:\MATLAB\Data\Data_raw\VS120\VS120_2025-02-27_15-50-26\Record_Node_103\experiment1\recording1\continuous\Rhythm_FPGA-100.0</t>
  </si>
  <si>
    <t>X:\MATLAB\Data\Data_raw\VS120\VS120_2025-02-28_15-59-01\Record Node 103\experiment1\recording1\continuous\Rhythm_FPGA-100.0</t>
  </si>
  <si>
    <t>X:\MATLAB\Data\Data_raw\VS121\VS121_2025-02-27_17-25-48\Record Node 104\experiment1\recording1\continuous\Rhythm_FPGA-101.0</t>
  </si>
  <si>
    <t>X:\MATLAB\Data\Data_raw\VS121\VS121_2025-02-28_18-15-13\Record Node 104\experiment1\recording1\continuous\Rhythm_FPGA-101.0</t>
  </si>
  <si>
    <t>X:\MATLAB\Data\Data_raw\VS125\VS125_2025-04-04_15-39-27\Record Node 103\experiment1\recording1\continuous\Rhythm_FPGA-100.0</t>
  </si>
  <si>
    <t>X:\MATLAB\Data\Data_raw\VS125\VS125_2025-04-05_14-39-56\Record Node 103\experiment1\recording1\continuous\Rhythm_FPGA-100.0</t>
  </si>
  <si>
    <t>doselect_bhv</t>
  </si>
  <si>
    <t>15-16</t>
  </si>
  <si>
    <t>total</t>
  </si>
  <si>
    <t>tot</t>
  </si>
  <si>
    <t>pyr</t>
  </si>
  <si>
    <t>pc</t>
  </si>
  <si>
    <t>17-18</t>
  </si>
  <si>
    <t>19-20</t>
  </si>
  <si>
    <t>23-24</t>
  </si>
  <si>
    <t>21-22</t>
  </si>
  <si>
    <t>pct pyr</t>
  </si>
  <si>
    <t>pct pc dans pyr</t>
  </si>
  <si>
    <t>TOTAL</t>
  </si>
  <si>
    <t>SessionName</t>
  </si>
  <si>
    <t>Slope</t>
  </si>
  <si>
    <t>meanspeed</t>
  </si>
  <si>
    <t>max_speed_all_traj</t>
  </si>
  <si>
    <t>Max_speed_en_moyenne</t>
  </si>
  <si>
    <t xml:space="preserve">VS38_2022-10-02_18-30-08 </t>
  </si>
  <si>
    <t xml:space="preserve">VS99_2024-11-02_15-41-34 </t>
  </si>
  <si>
    <t xml:space="preserve">VS80_2023-04-25_17-51-58 </t>
  </si>
  <si>
    <t xml:space="preserve">VS99_2024-11-03_13-46-40 </t>
  </si>
  <si>
    <t xml:space="preserve">VS66_2023-02-20_17-36-59 </t>
  </si>
  <si>
    <t xml:space="preserve">VS67_2023-02-20_19-17-18 </t>
  </si>
  <si>
    <t xml:space="preserve">VS83_2023-05-11_17-15-49 </t>
  </si>
  <si>
    <t xml:space="preserve">VS66_2023-02-21_17-55-45 </t>
  </si>
  <si>
    <t xml:space="preserve">VS67_2023-02-21_20-00-15 </t>
  </si>
  <si>
    <t xml:space="preserve">VS73_2023-03-20_17-51-52 </t>
  </si>
  <si>
    <t xml:space="preserve">VS68_2023-02-22_16-56-07 </t>
  </si>
  <si>
    <t xml:space="preserve">VS73_2023-03-21_19-53-41 </t>
  </si>
  <si>
    <t xml:space="preserve">VS88_2023-10-30_17-02-23 </t>
  </si>
  <si>
    <t xml:space="preserve">VS57_2022-12-18_18-51-04 </t>
  </si>
  <si>
    <t xml:space="preserve">VS68_2023-02-23_18-54-54 </t>
  </si>
  <si>
    <t xml:space="preserve">VS75_2023-03-22_17-27-32 </t>
  </si>
  <si>
    <t xml:space="preserve">VS90_2024-01-11_17-51-57 </t>
  </si>
  <si>
    <t xml:space="preserve">VS12_2022-02-26_12-01-52 </t>
  </si>
  <si>
    <t xml:space="preserve">VS47_2022-11-19_19-32-44 </t>
  </si>
  <si>
    <t xml:space="preserve">vs57_2022-12-19_16-30-47 </t>
  </si>
  <si>
    <t xml:space="preserve">VS69_2023-02-24_12-16-41 </t>
  </si>
  <si>
    <t xml:space="preserve">VS70_2023-02-24_18-36-38 </t>
  </si>
  <si>
    <t xml:space="preserve">VS90_2024-01-12_17-40-42 </t>
  </si>
  <si>
    <t xml:space="preserve">VS47_2022-11-20_18-00-29 </t>
  </si>
  <si>
    <t xml:space="preserve">VS60_2023-02-03_18-38-41 </t>
  </si>
  <si>
    <t xml:space="preserve">VS64_2023-02-14_18-04-10 </t>
  </si>
  <si>
    <t xml:space="preserve">VS98_2024-05-15_17-29-02 </t>
  </si>
  <si>
    <t xml:space="preserve">VS64_2023-02-15_17-07-03 </t>
  </si>
  <si>
    <t xml:space="preserve">VS65_2023-02-15_18-41-14 </t>
  </si>
  <si>
    <t xml:space="preserve">VS15_2022-03-01_16-02-15 </t>
  </si>
  <si>
    <t xml:space="preserve">VS61_2023-02-08_16-55-37 </t>
  </si>
  <si>
    <t xml:space="preserve">VS65_2023-02-16_14-55-46 </t>
  </si>
  <si>
    <t xml:space="preserve">VS15_2022-03-02_18-18-27 </t>
  </si>
  <si>
    <t xml:space="preserve">VS61_2023-02-09_17-18-50 </t>
  </si>
  <si>
    <t>Étiquettes de lignes</t>
  </si>
  <si>
    <t>Total général</t>
  </si>
  <si>
    <t>Moyenne de meanspeed</t>
  </si>
  <si>
    <t>Moyenne de Max_speed_en_moyenne</t>
  </si>
  <si>
    <t>Moyenne de Slope</t>
  </si>
  <si>
    <t>nb_sess_kept</t>
  </si>
  <si>
    <t xml:space="preserve">nb pc per sess </t>
  </si>
  <si>
    <t>LEFT</t>
  </si>
  <si>
    <t>RIGHT</t>
  </si>
  <si>
    <t>is bidirectionnelle</t>
  </si>
  <si>
    <t>is multichamp</t>
  </si>
  <si>
    <t>groupe 1</t>
  </si>
  <si>
    <t>groupe 2</t>
  </si>
  <si>
    <t>groupe 3</t>
  </si>
  <si>
    <t>groupe 4</t>
  </si>
  <si>
    <t>groupe 5</t>
  </si>
  <si>
    <t>doselect_NOW</t>
  </si>
  <si>
    <t>Weight</t>
  </si>
  <si>
    <t>doselect_NOWPREVIOUS</t>
  </si>
  <si>
    <t>doselect_POM</t>
  </si>
  <si>
    <t>doselect_MAX_PO2</t>
  </si>
  <si>
    <t>supooltriche</t>
  </si>
  <si>
    <t>nb cell tot</t>
  </si>
  <si>
    <t>nb sess</t>
  </si>
  <si>
    <t>nbpyr</t>
  </si>
  <si>
    <t>bd</t>
  </si>
  <si>
    <t>VS57_2022-12-19_16-30-47</t>
  </si>
  <si>
    <t>15-17</t>
  </si>
  <si>
    <t>18-20</t>
  </si>
  <si>
    <t>23-25</t>
  </si>
  <si>
    <t>total gardé</t>
  </si>
  <si>
    <t>Colonne1</t>
  </si>
  <si>
    <t>rankfield_sess</t>
  </si>
  <si>
    <t>Écartype de meanspeed</t>
  </si>
  <si>
    <t>Écartype de Max_speed_en_moyenne</t>
  </si>
  <si>
    <t>VS129_2025-11-25_16-51-07</t>
  </si>
  <si>
    <t>VS129_2025-11-26_17-43-43</t>
  </si>
  <si>
    <t>VS130_2025-11-26_16-44-20</t>
  </si>
  <si>
    <t>VS130_2025-11-28_17-06-51</t>
  </si>
  <si>
    <t>VS133_2025-12-06_12-38-12</t>
  </si>
  <si>
    <t>VS133_2025-12-07_16-27-43</t>
  </si>
  <si>
    <t>VS134_2025-12-06_13-42-18</t>
  </si>
  <si>
    <t>X:\MATLAB\Data\Data_raw\VS129\VS129_2025-11-25_16-51-07\Record_Node_103\experiment1\recording1\continuous\Rhythm_FPGA-100.0</t>
  </si>
  <si>
    <t>X:\MATLAB\Data\Data_raw\VS129\VS129_2025-11-26_17-43-43\Record_Node_104</t>
  </si>
  <si>
    <t>X:\MATLAB\Data\Data_raw\VS130\VS130_2025-11-26_16-44-20\Record_Node_104</t>
  </si>
  <si>
    <t>X:\MATLAB\Data\Data_raw\VS130\VS130_2025-11-28_17-06-51\Record_Node_104\experiment1\recording1\continuous\Rhythm_FPGA-101.0</t>
  </si>
  <si>
    <t>X:\MATLAB\Data\Data_raw\VS133\VS133_2025-12-06_12-38-12\Record_Node_104\experiment1\recording1\continuous\Rhythm_FPGA-101.0</t>
  </si>
  <si>
    <t>X:\MATLAB\Data\Data_raw\VS133\VS133_2025-12-07_16-27-43\Record_Node_104\experiment1\recording1\continuous\Rhythm_FPGA-101.0</t>
  </si>
  <si>
    <t>X:\MATLAB\Data\Data_raw\VS134\VS134_2025-12-06_13-42-18\Record_Node_104\experiment1\recording1\continuous\Rhythm_FPGA-101.0</t>
  </si>
  <si>
    <t>[50] j'ai fais 25 25</t>
  </si>
  <si>
    <t>1?</t>
  </si>
  <si>
    <t>1, 0cell</t>
  </si>
  <si>
    <t>1; 0cell</t>
  </si>
  <si>
    <t>1 drifting</t>
  </si>
  <si>
    <t>tant pis3 cel naze</t>
  </si>
  <si>
    <t>date</t>
  </si>
  <si>
    <t>2021-10-20_11-20-39</t>
  </si>
  <si>
    <t>2021-10-21_12-11-22</t>
  </si>
  <si>
    <t>2024-11-03_14-40-11</t>
  </si>
  <si>
    <t>2024-11-04_15-23-28</t>
  </si>
  <si>
    <t>2024-11-04_16-46-04</t>
  </si>
  <si>
    <t>2024-11-05_17-44-14</t>
  </si>
  <si>
    <t>2024-11-05_18-59-31</t>
  </si>
  <si>
    <t>2024-11-07_16-01-28</t>
  </si>
  <si>
    <t>2024-11-08_16-05-55</t>
  </si>
  <si>
    <t>2024-11-10_14-58-13</t>
  </si>
  <si>
    <t>2024-11-10_16-39-46</t>
  </si>
  <si>
    <t>2024-11-12_14-55-21</t>
  </si>
  <si>
    <t>2024-12-20_17-20-40</t>
  </si>
  <si>
    <t>2024-12-21_17-14-39</t>
  </si>
  <si>
    <t>2022-02-10_17-46-04</t>
  </si>
  <si>
    <t>2024-12-23_16-30-17</t>
  </si>
  <si>
    <t>2024-12-24_15-13-11</t>
  </si>
  <si>
    <t>2025-01-10_15-36-28</t>
  </si>
  <si>
    <t>2025-01-11_16-28-44</t>
  </si>
  <si>
    <t>2025-01-12_16-10-36</t>
  </si>
  <si>
    <t>2025-01-13_15-46-23</t>
  </si>
  <si>
    <t>2025-01-13_16-51-03</t>
  </si>
  <si>
    <t>2025-02-22_18-19-46</t>
  </si>
  <si>
    <t>2025-02-23_18-33-27</t>
  </si>
  <si>
    <t>2025-02-24_18-20-07</t>
  </si>
  <si>
    <t>2025-02-25_17-38-19</t>
  </si>
  <si>
    <t>2022-02-25_16-05-36</t>
  </si>
  <si>
    <t>2022-02-26_12-01-52</t>
  </si>
  <si>
    <t>2025-02-27_15-50-26</t>
  </si>
  <si>
    <t>2025-02-28_15-59-01</t>
  </si>
  <si>
    <t>2021-10-22_15-14-44</t>
  </si>
  <si>
    <t>2025-02-27_17-25-48</t>
  </si>
  <si>
    <t>2025-02-28_18-15-13</t>
  </si>
  <si>
    <t>2025-04-04_15-39-27</t>
  </si>
  <si>
    <t>2025-04-05_14-39-56</t>
  </si>
  <si>
    <t>2025-11-25_16-51-07</t>
  </si>
  <si>
    <t>2025-11-26_17-43-43</t>
  </si>
  <si>
    <t>2025-11-26_16-44-20</t>
  </si>
  <si>
    <t>2025-11-28_17-06-51</t>
  </si>
  <si>
    <t>2025-12-06_12-38-12</t>
  </si>
  <si>
    <t>2025-12-07_16-27-43</t>
  </si>
  <si>
    <t>2025-12-06_13-42-18</t>
  </si>
  <si>
    <t>2022-03-01_16-02-15</t>
  </si>
  <si>
    <t>2022-03-02_18-18-27</t>
  </si>
  <si>
    <t>2022-03-30_17-15-08</t>
  </si>
  <si>
    <t>2022-10-02_18-30-08</t>
  </si>
  <si>
    <t>2022-10-03_16-06-22</t>
  </si>
  <si>
    <t>2022-10-12_17-39-00</t>
  </si>
  <si>
    <t>2022-10-13_17-47-32</t>
  </si>
  <si>
    <t>2022-10-13_19-42-08</t>
  </si>
  <si>
    <t>2022-10-14_17-39-22</t>
  </si>
  <si>
    <t>2022-11-19_19-32-44</t>
  </si>
  <si>
    <t>2022-11-20_18-00-29</t>
  </si>
  <si>
    <t>2022-12-18_18-51-04</t>
  </si>
  <si>
    <t>2022-12-19_16-30-47</t>
  </si>
  <si>
    <t>2022-12-21_15-58-34</t>
  </si>
  <si>
    <t>2022-12-22_15-48-57</t>
  </si>
  <si>
    <t>2023-02-03_18-38-41</t>
  </si>
  <si>
    <t>2023-02-08_16-55-37</t>
  </si>
  <si>
    <t>2023-02-09_17-18-50</t>
  </si>
  <si>
    <t>2023-02-14_18-04-10</t>
  </si>
  <si>
    <t>2023-02-15_17-07-03</t>
  </si>
  <si>
    <t>2023-02-15_18-41-14</t>
  </si>
  <si>
    <t>2023-02-16_14-55-46</t>
  </si>
  <si>
    <t>2023-02-20_17-36-59</t>
  </si>
  <si>
    <t>2023-02-21_17-55-45</t>
  </si>
  <si>
    <t>2023-02-20_19-17-18</t>
  </si>
  <si>
    <t>2023-02-21_20-00-15</t>
  </si>
  <si>
    <t>2023-02-22_16-56-07</t>
  </si>
  <si>
    <t>2023-02-23_18-54-54</t>
  </si>
  <si>
    <t>2023-02-23_11-55-40</t>
  </si>
  <si>
    <t>2023-02-24_12-16-41</t>
  </si>
  <si>
    <t>2023-02-24_18-36-38</t>
  </si>
  <si>
    <t>2023-03-20_17-51-52</t>
  </si>
  <si>
    <t>2023-03-21_19-53-41</t>
  </si>
  <si>
    <t>2023-03-22_17-27-32</t>
  </si>
  <si>
    <t>2023-04-25_17-51-58</t>
  </si>
  <si>
    <t>2023-05-11_17-15-49</t>
  </si>
  <si>
    <t>2023-05-12_17-28-23</t>
  </si>
  <si>
    <t>2023-10-30_17-02-23</t>
  </si>
  <si>
    <t>2024-01-11_17-51-57</t>
  </si>
  <si>
    <t>2024-01-12_17-40-42</t>
  </si>
  <si>
    <t>2024-05-15_17-29-02</t>
  </si>
  <si>
    <t>2024-05-16_14-48-36</t>
  </si>
  <si>
    <t>2024-11-02_15-41-34</t>
  </si>
  <si>
    <t>2024-11-03_13-46-40</t>
  </si>
  <si>
    <t>doselect_JE</t>
  </si>
  <si>
    <t>doselect_all</t>
  </si>
  <si>
    <t>lfp</t>
  </si>
  <si>
    <t>nb Pyr PC</t>
  </si>
  <si>
    <t>nb INT</t>
  </si>
  <si>
    <t>nb INT PC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</si>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</sst>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1" xfId="0" applyNumberFormat="1" applyBorder="1"/>
    <xf numFmtId="0" fontId="2" fillId="11" borderId="1" xfId="0" applyFont="1" applyFill="1" applyBorder="1" applyAlignment="1">
      <alignment horizontal="center" vertical="center"/>
    </xf>
    <xf numFmtId="0" fontId="0" fillId="2" borderId="0" xfId="0" applyFill="1"/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15" borderId="1" xfId="0" applyFill="1" applyBorder="1" applyAlignment="1">
      <alignment horizontal="center" vertical="center"/>
    </xf>
    <xf numFmtId="0" fontId="0" fillId="15" borderId="0" xfId="0" applyFill="1"/>
    <xf numFmtId="0" fontId="0" fillId="15" borderId="0" xfId="0" applyFill="1" applyAlignment="1">
      <alignment horizontal="center" vertical="center"/>
    </xf>
    <xf numFmtId="0" fontId="0" fillId="15" borderId="1" xfId="0" applyFill="1" applyBorder="1"/>
    <xf numFmtId="0" fontId="0" fillId="11" borderId="0" xfId="0" applyFill="1"/>
    <xf numFmtId="0" fontId="3" fillId="13" borderId="0" xfId="0" applyFont="1" applyFill="1"/>
    <xf numFmtId="0" fontId="0" fillId="11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7" borderId="1" xfId="0" applyFill="1" applyBorder="1"/>
    <xf numFmtId="0" fontId="0" fillId="11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/>
    <xf numFmtId="0" fontId="8" fillId="11" borderId="0" xfId="0" applyFont="1" applyFill="1" applyAlignment="1">
      <alignment horizontal="center" vertical="center"/>
    </xf>
    <xf numFmtId="0" fontId="7" fillId="11" borderId="0" xfId="0" applyFont="1" applyFill="1"/>
    <xf numFmtId="0" fontId="2" fillId="0" borderId="1" xfId="0" applyFont="1" applyBorder="1"/>
    <xf numFmtId="0" fontId="0" fillId="0" borderId="3" xfId="0" applyBorder="1"/>
    <xf numFmtId="0" fontId="0" fillId="3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9" fillId="11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0" fillId="13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11" borderId="0" xfId="0" applyFont="1" applyFill="1" applyBorder="1"/>
    <xf numFmtId="0" fontId="0" fillId="11" borderId="0" xfId="0" applyFill="1" applyBorder="1"/>
    <xf numFmtId="0" fontId="2" fillId="11" borderId="1" xfId="0" applyFont="1" applyFill="1" applyBorder="1"/>
    <xf numFmtId="0" fontId="0" fillId="2" borderId="0" xfId="0" applyFill="1" applyBorder="1"/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[Finalyses_Vinca.xlsx]Feuil3!Tableau croisé dynamique4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Feuil3!$I$9:$I$19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8.3969903762029743E-2"/>
                  <c:y val="-0.1844338160470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BarType val="plus"/>
            <c:errValType val="cust"/>
            <c:noEndCap val="0"/>
            <c:plus>
              <c:numRef>
                <c:f>Feuil3!$I$9:$I$19</c:f>
                <c:numCache>
                  <c:formatCode>General</c:formatCode>
                  <c:ptCount val="11"/>
                  <c:pt idx="0">
                    <c:v>9.0768162255766658</c:v>
                  </c:pt>
                  <c:pt idx="1">
                    <c:v>6.5330239128141807</c:v>
                  </c:pt>
                  <c:pt idx="2">
                    <c:v>5.0574320436368829</c:v>
                  </c:pt>
                  <c:pt idx="3">
                    <c:v>7.1224322679381382</c:v>
                  </c:pt>
                  <c:pt idx="4">
                    <c:v>7.9569693066369647</c:v>
                  </c:pt>
                  <c:pt idx="5">
                    <c:v>6.0372262972653266</c:v>
                  </c:pt>
                  <c:pt idx="6">
                    <c:v>14.256323996064838</c:v>
                  </c:pt>
                  <c:pt idx="7">
                    <c:v>9.8990172831883676</c:v>
                  </c:pt>
                  <c:pt idx="8">
                    <c:v>8.0298675510451663</c:v>
                  </c:pt>
                  <c:pt idx="9">
                    <c:v>17.718793047225674</c:v>
                  </c:pt>
                  <c:pt idx="10">
                    <c:v>17.022114364385512</c:v>
                  </c:pt>
                </c:numCache>
              </c:numRef>
            </c:plus>
            <c:minus>
              <c:numRef>
                <c:f>Feuil3!$I$9:$I$19</c:f>
                <c:numCache>
                  <c:formatCode>General</c:formatCode>
                  <c:ptCount val="11"/>
                  <c:pt idx="0">
                    <c:v>9.0768162255766658</c:v>
                  </c:pt>
                  <c:pt idx="1">
                    <c:v>6.5330239128141807</c:v>
                  </c:pt>
                  <c:pt idx="2">
                    <c:v>5.0574320436368829</c:v>
                  </c:pt>
                  <c:pt idx="3">
                    <c:v>7.1224322679381382</c:v>
                  </c:pt>
                  <c:pt idx="4">
                    <c:v>7.9569693066369647</c:v>
                  </c:pt>
                  <c:pt idx="5">
                    <c:v>6.0372262972653266</c:v>
                  </c:pt>
                  <c:pt idx="6">
                    <c:v>14.256323996064838</c:v>
                  </c:pt>
                  <c:pt idx="7">
                    <c:v>9.8990172831883676</c:v>
                  </c:pt>
                  <c:pt idx="8">
                    <c:v>8.0298675510451663</c:v>
                  </c:pt>
                  <c:pt idx="9">
                    <c:v>17.718793047225674</c:v>
                  </c:pt>
                  <c:pt idx="10">
                    <c:v>17.022114364385512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Feuil3!$I$9:$I$19</c:f>
              <c:strCach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strCache>
            </c:strRef>
          </c:cat>
          <c:val>
            <c:numRef>
              <c:f>Feuil3!$I$9:$I$19</c:f>
              <c:numCache>
                <c:formatCode>General</c:formatCode>
                <c:ptCount val="11"/>
                <c:pt idx="0">
                  <c:v>20.838710251569083</c:v>
                </c:pt>
                <c:pt idx="1">
                  <c:v>14.633093650291286</c:v>
                </c:pt>
                <c:pt idx="2">
                  <c:v>10.472665911408054</c:v>
                </c:pt>
                <c:pt idx="3">
                  <c:v>15.227747686656281</c:v>
                </c:pt>
                <c:pt idx="4">
                  <c:v>16.158157241835134</c:v>
                </c:pt>
                <c:pt idx="5">
                  <c:v>18.840472029530044</c:v>
                </c:pt>
                <c:pt idx="6">
                  <c:v>24.118915935312447</c:v>
                </c:pt>
                <c:pt idx="7">
                  <c:v>22.187517994555872</c:v>
                </c:pt>
                <c:pt idx="8">
                  <c:v>20.949672780240341</c:v>
                </c:pt>
                <c:pt idx="9">
                  <c:v>30.370314290541156</c:v>
                </c:pt>
                <c:pt idx="10">
                  <c:v>27.786736156140616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52-4DAB-8996-71B945410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153535"/>
        <c:axId val="1407818991"/>
      </c:barChart>
      <c:catAx>
        <c:axId val="168915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7818991"/>
        <c:crosses val="autoZero"/>
        <c:auto val="1"/>
        <c:lblAlgn val="ctr"/>
        <c:lblOffset val="100"/>
        <c:noMultiLvlLbl val="0"/>
      </c:catAx>
      <c:valAx>
        <c:axId val="14078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15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[Finalyses_Vinca.xlsx]Feuil3!Tableau croisé dynamique5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Feuil3!$I$28:$I$38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0.13403455818022747"/>
                  <c:y val="-0.13220399533391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errBars>
            <c:errBarType val="plus"/>
            <c:errValType val="cust"/>
            <c:noEndCap val="0"/>
            <c:plus>
              <c:numRef>
                <c:f>Feuil3!$I$28:$I$38</c:f>
                <c:numCache>
                  <c:formatCode>General</c:formatCode>
                  <c:ptCount val="11"/>
                  <c:pt idx="0">
                    <c:v>12.966981224440861</c:v>
                  </c:pt>
                  <c:pt idx="1">
                    <c:v>7.8947546711749474</c:v>
                  </c:pt>
                  <c:pt idx="2">
                    <c:v>4.947007474029574</c:v>
                  </c:pt>
                  <c:pt idx="3">
                    <c:v>11.796399151738866</c:v>
                  </c:pt>
                  <c:pt idx="4">
                    <c:v>8.7804333938087744</c:v>
                  </c:pt>
                  <c:pt idx="5">
                    <c:v>6.5804653855811459</c:v>
                  </c:pt>
                  <c:pt idx="6">
                    <c:v>18.974112293955194</c:v>
                  </c:pt>
                  <c:pt idx="7">
                    <c:v>14.043858060506528</c:v>
                  </c:pt>
                  <c:pt idx="8">
                    <c:v>9.7879475911753939</c:v>
                  </c:pt>
                  <c:pt idx="9">
                    <c:v>20.462635827866471</c:v>
                  </c:pt>
                  <c:pt idx="10">
                    <c:v>21.822498544576337</c:v>
                  </c:pt>
                </c:numCache>
              </c:numRef>
            </c:plus>
            <c:minus>
              <c:numRef>
                <c:f>Feuil3!$I$28:$I$38</c:f>
                <c:numCache>
                  <c:formatCode>General</c:formatCode>
                  <c:ptCount val="11"/>
                  <c:pt idx="0">
                    <c:v>12.966981224440861</c:v>
                  </c:pt>
                  <c:pt idx="1">
                    <c:v>7.8947546711749474</c:v>
                  </c:pt>
                  <c:pt idx="2">
                    <c:v>4.947007474029574</c:v>
                  </c:pt>
                  <c:pt idx="3">
                    <c:v>11.796399151738866</c:v>
                  </c:pt>
                  <c:pt idx="4">
                    <c:v>8.7804333938087744</c:v>
                  </c:pt>
                  <c:pt idx="5">
                    <c:v>6.5804653855811459</c:v>
                  </c:pt>
                  <c:pt idx="6">
                    <c:v>18.974112293955194</c:v>
                  </c:pt>
                  <c:pt idx="7">
                    <c:v>14.043858060506528</c:v>
                  </c:pt>
                  <c:pt idx="8">
                    <c:v>9.7879475911753939</c:v>
                  </c:pt>
                  <c:pt idx="9">
                    <c:v>20.462635827866471</c:v>
                  </c:pt>
                  <c:pt idx="10">
                    <c:v>21.822498544576337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Feuil3!$I$28:$I$38</c:f>
              <c:strCach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strCache>
            </c:strRef>
          </c:cat>
          <c:val>
            <c:numRef>
              <c:f>Feuil3!$I$28:$I$38</c:f>
              <c:numCache>
                <c:formatCode>General</c:formatCode>
                <c:ptCount val="11"/>
                <c:pt idx="0">
                  <c:v>27.585805950039511</c:v>
                </c:pt>
                <c:pt idx="1">
                  <c:v>19.19068627735447</c:v>
                </c:pt>
                <c:pt idx="2">
                  <c:v>13.47488953525651</c:v>
                </c:pt>
                <c:pt idx="3">
                  <c:v>21.636262111979111</c:v>
                </c:pt>
                <c:pt idx="4">
                  <c:v>20.893197097280787</c:v>
                </c:pt>
                <c:pt idx="5">
                  <c:v>25.724464545291344</c:v>
                </c:pt>
                <c:pt idx="6">
                  <c:v>32.05070730177853</c:v>
                </c:pt>
                <c:pt idx="7">
                  <c:v>30.636438208583883</c:v>
                </c:pt>
                <c:pt idx="8">
                  <c:v>30.604929217701017</c:v>
                </c:pt>
                <c:pt idx="9">
                  <c:v>41.416039830021738</c:v>
                </c:pt>
                <c:pt idx="10">
                  <c:v>40.288256310354242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0-4B7A-BEE1-07B9A6B7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953951"/>
        <c:axId val="1050951071"/>
      </c:barChart>
      <c:catAx>
        <c:axId val="105095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0951071"/>
        <c:crosses val="autoZero"/>
        <c:auto val="1"/>
        <c:lblAlgn val="ctr"/>
        <c:lblOffset val="100"/>
        <c:noMultiLvlLbl val="0"/>
      </c:catAx>
      <c:valAx>
        <c:axId val="10509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095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[Finalyses_Vinca.xlsx]Feuil3!Tableau croisé dynamique6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Feuil3!$N$39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Feuil3!$M$40:$M$51</c:f>
              <c:strCache>
                <c:ptCount val="1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</c:strCache>
            </c:strRef>
          </c:cat>
          <c:val>
            <c:numRef>
              <c:f>Feuil3!$N$40:$N$51</c:f>
              <c:numCache>
                <c:formatCode>General</c:formatCode>
                <c:ptCount val="11"/>
                <c:pt idx="0">
                  <c:v>-0.11447300199031173</c:v>
                </c:pt>
                <c:pt idx="1">
                  <c:v>9.5163954772894774E-3</c:v>
                </c:pt>
                <c:pt idx="2">
                  <c:v>-1.7847053761910484E-2</c:v>
                </c:pt>
                <c:pt idx="3">
                  <c:v>-8.7678496739048317E-2</c:v>
                </c:pt>
                <c:pt idx="4">
                  <c:v>-1.5712674184037514E-2</c:v>
                </c:pt>
                <c:pt idx="5">
                  <c:v>-0.12774548770702007</c:v>
                </c:pt>
                <c:pt idx="6">
                  <c:v>-7.1283224383502999E-2</c:v>
                </c:pt>
                <c:pt idx="7">
                  <c:v>-3.5295800619339693E-4</c:v>
                </c:pt>
                <c:pt idx="8">
                  <c:v>-0.10900276495227976</c:v>
                </c:pt>
                <c:pt idx="9">
                  <c:v>-0.15625302542102926</c:v>
                </c:pt>
                <c:pt idx="10">
                  <c:v>-4.3477243085697996E-2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E-4FEE-ADD7-AA735A036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489295"/>
        <c:axId val="1600492175"/>
      </c:barChart>
      <c:catAx>
        <c:axId val="16004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492175"/>
        <c:crosses val="autoZero"/>
        <c:auto val="1"/>
        <c:lblAlgn val="ctr"/>
        <c:lblOffset val="100"/>
        <c:noMultiLvlLbl val="0"/>
      </c:catAx>
      <c:valAx>
        <c:axId val="16004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48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Feuil4!$A$2</c:f>
              <c:strCache>
                <c:ptCount val="1"/>
                <c:pt idx="0">
                  <c:v>is bidirectionnelle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Feuil4!$A$3:$A$8</c:f>
              <c:numCache>
                <c:formatCode>General</c:formatCode>
                <c:ptCount val="6"/>
                <c:pt idx="0">
                  <c:v>0.33333333333333298</c:v>
                </c:pt>
                <c:pt idx="1">
                  <c:v>0.33333333333333298</c:v>
                </c:pt>
                <c:pt idx="2">
                  <c:v>0.25</c:v>
                </c:pt>
                <c:pt idx="3">
                  <c:v>9.0909090909090898E-2</c:v>
                </c:pt>
                <c:pt idx="4">
                  <c:v>1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3-43AE-A200-E818DFB1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95312"/>
        <c:axId val="2040883344"/>
      </c:lineChart>
      <c:catAx>
        <c:axId val="5819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0883344"/>
        <c:crosses val="autoZero"/>
        <c:auto val="1"/>
        <c:lblAlgn val="ctr"/>
        <c:lblOffset val="100"/>
        <c:noMultiLvlLbl val="0"/>
      </c:catAx>
      <c:valAx>
        <c:axId val="20408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19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Feuil4!$B$2</c:f>
              <c:strCache>
                <c:ptCount val="1"/>
                <c:pt idx="0">
                  <c:v>is multichamp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Feuil4!$B$3:$B$8</c:f>
              <c:numCache>
                <c:formatCode>General</c:formatCode>
                <c:ptCount val="6"/>
                <c:pt idx="0">
                  <c:v>0.33333333333333298</c:v>
                </c:pt>
                <c:pt idx="1">
                  <c:v>0.16666666666666699</c:v>
                </c:pt>
                <c:pt idx="2">
                  <c:v>0.5</c:v>
                </c:pt>
                <c:pt idx="3">
                  <c:v>0.27272727272727298</c:v>
                </c:pt>
                <c:pt idx="4">
                  <c:v>0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E-4CC0-A4E7-C3EC3B79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510720"/>
        <c:axId val="757511200"/>
      </c:lineChart>
      <c:catAx>
        <c:axId val="75751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7511200"/>
        <c:crosses val="autoZero"/>
        <c:auto val="1"/>
        <c:lblAlgn val="ctr"/>
        <c:lblOffset val="100"/>
        <c:noMultiLvlLbl val="0"/>
      </c:catAx>
      <c:valAx>
        <c:axId val="7575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751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>
      <cx:tx>
        <cx:txData>
          <cx:v>pct place cells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pct place cells</a:t>
          </a:r>
        </a:p>
      </cx:txPr>
    </cx:title>
    <cx:plotArea>
      <cx:plotAreaRegion>
        <cx:series layoutId="boxWhisker" uniqueId="{131CFAA5-B5EA-43AB-98ED-B610ADDF8735}">
          <cx:tx>
            <cx:txData>
              <cx:f>_xlchart.v1.0</cx:f>
              <cx:v>groupe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DF15868-1C46-4C6C-9738-2E2F08D06609}">
          <cx:tx>
            <cx:txData>
              <cx:f>_xlchart.v1.2</cx:f>
              <cx:v>groupe 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B0AEB12-25EF-4776-9785-6B08A63187BB}">
          <cx:tx>
            <cx:txData>
              <cx:f>_xlchart.v1.4</cx:f>
              <cx:v>groupe 3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2976B31-8F71-4864-8C68-1BC4F73EBC68}">
          <cx:tx>
            <cx:txData>
              <cx:f>_xlchart.v1.6</cx:f>
              <cx:v>groupe 4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5CD03B6-EB88-425B-B15D-C572E78A3A40}">
          <cx:tx>
            <cx:txData>
              <cx:f>_xlchart.v1.8</cx:f>
              <cx:v>groupe 5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21</xdr:row>
      <xdr:rowOff>100012</xdr:rowOff>
    </xdr:from>
    <xdr:to>
      <xdr:col>14</xdr:col>
      <xdr:colOff>1276350</xdr:colOff>
      <xdr:row>34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DC99D3-EA9E-0B83-2912-7652CD712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1762125</xdr:colOff>
      <xdr:row>20</xdr:row>
      <xdr:rowOff>52387</xdr:rowOff>
    </xdr:from>
    <xdr:to>
      <xdr:col>17</xdr:col>
      <xdr:colOff>647700</xdr:colOff>
      <xdr:row>34</xdr:row>
      <xdr:rowOff>128587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AA614F6-F682-F8DA-8722-9879187E3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142875</xdr:colOff>
      <xdr:row>37</xdr:row>
      <xdr:rowOff>138112</xdr:rowOff>
    </xdr:from>
    <xdr:to>
      <xdr:col>16</xdr:col>
      <xdr:colOff>1485900</xdr:colOff>
      <xdr:row>52</xdr:row>
      <xdr:rowOff>23812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9AF5724-27D9-A0FD-DADE-F7ABF150E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90487</xdr:rowOff>
    </xdr:from>
    <xdr:to>
      <xdr:col>14</xdr:col>
      <xdr:colOff>533400</xdr:colOff>
      <xdr:row>25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99CD23C-679A-B95A-F2A2-87F6E882E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11</xdr:row>
      <xdr:rowOff>147637</xdr:rowOff>
    </xdr:from>
    <xdr:to>
      <xdr:col>8</xdr:col>
      <xdr:colOff>428625</xdr:colOff>
      <xdr:row>26</xdr:row>
      <xdr:rowOff>33337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EDE09D2-B418-F33E-F9DC-8D8ADE870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11</xdr:row>
      <xdr:rowOff>90487</xdr:rowOff>
    </xdr:from>
    <xdr:to>
      <xdr:col>14</xdr:col>
      <xdr:colOff>533400</xdr:colOff>
      <xdr:row>25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B7533FCF-A593-DD06-12A4-34462EFB14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185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a Suire" refreshedDate="46024.52390104167" createdVersion="8" refreshedVersion="8" minRefreshableVersion="3" recordCount="58" xr:uid="{EB481AAD-80C5-4A40-8153-CA0D58F8F63D}">
  <cacheSource type="worksheet">
    <worksheetSource ref="A1:F59" sheet="Feuil3"/>
  </cacheSource>
  <cacheFields count="6">
    <cacheField name="Age" numFmtId="0">
      <sharedItems containsSemiMixedTypes="0" containsString="0" containsNumber="1" containsInteger="1" minValue="15" maxValue="25" count="11"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SessionName" numFmtId="0">
      <sharedItems/>
    </cacheField>
    <cacheField name="Slope" numFmtId="0">
      <sharedItems containsSemiMixedTypes="0" containsString="0" containsNumber="1" minValue="-0.44704156317593485" maxValue="0.265418978778104"/>
    </cacheField>
    <cacheField name="meanspeed" numFmtId="0">
      <sharedItems containsSemiMixedTypes="0" containsString="0" containsNumber="1" minValue="5.3321141068119378" maxValue="57.201402523699379"/>
    </cacheField>
    <cacheField name="max_speed_all_traj" numFmtId="0">
      <sharedItems containsSemiMixedTypes="0" containsString="0" containsNumber="1" minValue="13.40010890290689" maxValue="134.87937167373053"/>
    </cacheField>
    <cacheField name="Max_speed_en_moyenne" numFmtId="0">
      <sharedItems containsSemiMixedTypes="0" containsString="0" containsNumber="1" minValue="6.9721563433798401" maxValue="70.5688713582173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s v="VS38_2022-10-02_18-30-08 "/>
    <n v="-0.22885953776158646"/>
    <n v="25.592116967696331"/>
    <n v="59.092269754095746"/>
    <n v="36.543065231531351"/>
  </r>
  <r>
    <x v="0"/>
    <s v="VS99_2024-11-02_15-41-34 "/>
    <n v="3.4473917509667808E-2"/>
    <n v="10.372356948285391"/>
    <n v="35.433934751442358"/>
    <n v="12.716400029433748"/>
  </r>
  <r>
    <x v="0"/>
    <s v="VS116_2025-02-22_18-19-46"/>
    <n v="-0.1490333857190165"/>
    <n v="26.551656838725528"/>
    <n v="56.533068918077298"/>
    <n v="33.497952589153428"/>
  </r>
  <r>
    <x v="1"/>
    <s v="VS80_2023-04-25_17-51-58 "/>
    <n v="8.378127793596514E-2"/>
    <n v="13.954813471351004"/>
    <n v="42.939034289589124"/>
    <n v="19.034159337357391"/>
  </r>
  <r>
    <x v="1"/>
    <s v="VS99_2024-11-03_13-46-40 "/>
    <n v="-8.813571851600123E-2"/>
    <n v="21.485772820725302"/>
    <n v="61.562543994017169"/>
    <n v="27.939915855218779"/>
  </r>
  <r>
    <x v="1"/>
    <s v="VS100_2024-11-03_14-40-11"/>
    <n v="1.9556189984756826E-2"/>
    <n v="17.093881495422313"/>
    <n v="41.913935363935614"/>
    <n v="20.956127834855597"/>
  </r>
  <r>
    <x v="1"/>
    <s v="VS116_2025-02-23_18-33-27"/>
    <n v="2.2863832504437173E-2"/>
    <n v="5.9979068136665346"/>
    <n v="21.667249705051979"/>
    <n v="8.832542081986114"/>
  </r>
  <r>
    <x v="2"/>
    <s v="VS66_2023-02-20_17-36-59 "/>
    <n v="5.5036269897026452E-2"/>
    <n v="19.6446380739003"/>
    <n v="57.556695667570416"/>
    <n v="22.782185921474575"/>
  </r>
  <r>
    <x v="2"/>
    <s v="VS67_2023-02-20_19-17-18 "/>
    <n v="8.9386600575477419E-3"/>
    <n v="9.8833322424756886"/>
    <n v="29.799519548066808"/>
    <n v="12.987609904309352"/>
  </r>
  <r>
    <x v="2"/>
    <s v="VS83_2023-05-11_17-15-49 "/>
    <n v="3.6381642308106346E-3"/>
    <n v="12.263204963828203"/>
    <n v="41.299611394375916"/>
    <n v="14.526786867109744"/>
  </r>
  <r>
    <x v="2"/>
    <s v="VS100_2024-11-04_15-23-28"/>
    <n v="-0.10617855461353951"/>
    <n v="5.3321141068119378"/>
    <n v="23.6872908737671"/>
    <n v="9.1106020296138386"/>
  </r>
  <r>
    <x v="2"/>
    <s v="VS101_2024-11-04_16-46-04"/>
    <n v="-8.554458504876275E-2"/>
    <n v="8.0733989212124815"/>
    <n v="26.472029454509212"/>
    <n v="11.021691090863273"/>
  </r>
  <r>
    <x v="2"/>
    <s v="VS118_2025-02-24_18-20-07"/>
    <n v="1.7027722905454522E-2"/>
    <n v="7.6393071602197127"/>
    <n v="24.399903438981063"/>
    <n v="10.420461398168289"/>
  </r>
  <r>
    <x v="3"/>
    <s v="VS66_2023-02-21_17-55-45 "/>
    <n v="-0.44704156317593485"/>
    <n v="28.971361046500459"/>
    <n v="68.423661825071264"/>
    <n v="44.783903192115694"/>
  </r>
  <r>
    <x v="3"/>
    <s v="VS67_2023-02-21_20-00-15 "/>
    <n v="4.4270517718510198E-2"/>
    <n v="14.551810299119726"/>
    <n v="42.117927283793158"/>
    <n v="20.320974162023635"/>
  </r>
  <r>
    <x v="3"/>
    <s v="VS73_2023-03-20_17-51-52 "/>
    <n v="-1.3564220099507217E-2"/>
    <n v="12.613989700057486"/>
    <n v="35.644891323184851"/>
    <n v="18.340842430890113"/>
  </r>
  <r>
    <x v="3"/>
    <s v="VS101_2024-11-05_17-44-14"/>
    <n v="-8.5764815195359348E-2"/>
    <n v="13.586049744304605"/>
    <n v="42.311310724234389"/>
    <n v="18.796428784919421"/>
  </r>
  <r>
    <x v="3"/>
    <s v="VS102_2024-11-05_18-59-31"/>
    <n v="9.0988465401887261E-3"/>
    <n v="7.9979084350964635"/>
    <n v="23.761591925116754"/>
    <n v="10.949757290130783"/>
  </r>
  <r>
    <x v="3"/>
    <s v="VS118_2025-02-25_17-38-19"/>
    <n v="-3.3069746222187474E-2"/>
    <n v="13.645366894858954"/>
    <n v="40.478812052857002"/>
    <n v="16.625666811795046"/>
  </r>
  <r>
    <x v="4"/>
    <s v="VS68_2023-02-22_16-56-07 "/>
    <n v="-5.6513800461368745E-2"/>
    <n v="14.962069265640082"/>
    <n v="36.053703777708648"/>
    <n v="21.513584023691923"/>
  </r>
  <r>
    <x v="4"/>
    <s v="VS73_2023-03-21_19-53-41 "/>
    <n v="-7.8642453516693453E-3"/>
    <n v="24.645459161554875"/>
    <n v="80.055661920168774"/>
    <n v="29.346983930108859"/>
  </r>
  <r>
    <x v="4"/>
    <s v="VS88_2023-10-30_17-02-23 "/>
    <n v="1.7240023260925552E-2"/>
    <n v="8.8669432983104439"/>
    <n v="20.891309028195504"/>
    <n v="11.819023338041571"/>
  </r>
  <r>
    <x v="5"/>
    <s v="VS57_2022-12-18_18-51-04 "/>
    <n v="-0.14322598590408364"/>
    <n v="20.310387370960903"/>
    <n v="40.754503480166967"/>
    <n v="26.305501907545143"/>
  </r>
  <r>
    <x v="5"/>
    <s v="VS68_2023-02-23_18-54-54 "/>
    <n v="-8.1200535303512553E-2"/>
    <n v="22.344104701841989"/>
    <n v="74.440863540192211"/>
    <n v="26.596247210036871"/>
  </r>
  <r>
    <x v="5"/>
    <s v="VS75_2023-03-22_17-27-32 "/>
    <n v="-0.2292373249006909"/>
    <n v="27.800752239935292"/>
    <n v="77.780956383091009"/>
    <n v="35.688509060575754"/>
  </r>
  <r>
    <x v="5"/>
    <s v="VS90_2024-01-11_17-51-57 "/>
    <n v="-3.9873623657565313E-3"/>
    <n v="10.911733923401478"/>
    <n v="33.692572422297928"/>
    <n v="15.084330807643788"/>
  </r>
  <r>
    <x v="5"/>
    <s v="VS102_2024-11-07_16-01-28"/>
    <n v="-3.1178273752137341E-2"/>
    <n v="17.65759050276624"/>
    <n v="43.938117378009942"/>
    <n v="26.480373933886973"/>
  </r>
  <r>
    <x v="5"/>
    <s v="VS121_2025-02-27_17-25-48"/>
    <n v="-0.27764344401593932"/>
    <n v="14.01826343827438"/>
    <n v="38.342292461577742"/>
    <n v="24.191824352059552"/>
  </r>
  <r>
    <x v="6"/>
    <s v="VS12_2022-02-26_12-01-52 "/>
    <n v="-0.23772280694794945"/>
    <n v="45.955059261694061"/>
    <n v="94.561660287075114"/>
    <n v="62.001390044175899"/>
  </r>
  <r>
    <x v="6"/>
    <s v="VS47_2022-11-19_19-32-44 "/>
    <n v="3.6780353555856508E-2"/>
    <n v="24.19313048803739"/>
    <n v="52.276349201475682"/>
    <n v="30.58431136567312"/>
  </r>
  <r>
    <x v="6"/>
    <s v="vs57_2022-12-19_16-30-47 "/>
    <n v="-9.7683183414620525E-2"/>
    <n v="15.569573764933663"/>
    <n v="42.675139977601361"/>
    <n v="21.881942349351281"/>
  </r>
  <r>
    <x v="6"/>
    <s v="VS69_2023-02-24_12-16-41 "/>
    <n v="4.011041547066637E-2"/>
    <n v="25.740769326699702"/>
    <n v="83.788193197385468"/>
    <n v="34.745124482471212"/>
  </r>
  <r>
    <x v="6"/>
    <s v="VS70_2023-02-24_18-36-38 "/>
    <n v="-8.4031860051401258E-2"/>
    <n v="36.880208896747341"/>
    <n v="92.360954869444285"/>
    <n v="50.697383580474593"/>
  </r>
  <r>
    <x v="6"/>
    <s v="VS90_2024-01-12_17-40-42 "/>
    <n v="-1.7713902441029258E-2"/>
    <n v="14.127388125923829"/>
    <n v="32.349863562066908"/>
    <n v="19.672504505348666"/>
  </r>
  <r>
    <x v="6"/>
    <s v="VS109_2024-12-20_17-20-40"/>
    <n v="-7.695666222998529E-2"/>
    <n v="17.336925960684773"/>
    <n v="46.538286374683416"/>
    <n v="21.9879677482094"/>
  </r>
  <r>
    <x v="6"/>
    <s v="VS112_2025-01-10_15-36-28"/>
    <n v="-0.2130957987717364"/>
    <n v="45.145370081683211"/>
    <n v="106.60034411851169"/>
    <n v="57.985234109051909"/>
  </r>
  <r>
    <x v="6"/>
    <s v="VS120_2025-02-28_15-59-01"/>
    <n v="-4.0207084386024355E-2"/>
    <n v="5.4798080690003372"/>
    <n v="13.40010890290689"/>
    <n v="6.9721563433798401"/>
  </r>
  <r>
    <x v="6"/>
    <s v="VS121_2025-02-28_18-15-13"/>
    <n v="-2.2311714618806339E-2"/>
    <n v="10.760925377720147"/>
    <n v="30.76784893182667"/>
    <n v="13.979058489649443"/>
  </r>
  <r>
    <x v="7"/>
    <s v="VS47_2022-11-20_18-00-29 "/>
    <n v="0.12864615404914156"/>
    <n v="15.452016965719368"/>
    <n v="35.051314197017966"/>
    <n v="20.655468460749034"/>
  </r>
  <r>
    <x v="7"/>
    <s v="VS60_2023-02-03_18-38-41 "/>
    <n v="-3.014719712116784E-2"/>
    <n v="15.032328166556502"/>
    <n v="38.5035881373405"/>
    <n v="20.513787991663698"/>
  </r>
  <r>
    <x v="7"/>
    <s v="VS64_2023-02-14_18-04-10 "/>
    <n v="0.265418978778104"/>
    <n v="27.418886830753738"/>
    <n v="61.836046241357721"/>
    <n v="37.214478410918623"/>
  </r>
  <r>
    <x v="7"/>
    <s v="VS98_2024-05-15_17-29-02 "/>
    <n v="-0.136010605899367"/>
    <n v="16.868173095008856"/>
    <n v="43.319078639382539"/>
    <n v="25.62679296138052"/>
  </r>
  <r>
    <x v="7"/>
    <s v="VS109_2024-12-21_17-14-39"/>
    <n v="-0.16874631165226545"/>
    <n v="18.221834663544659"/>
    <n v="42.482004380515924"/>
    <n v="23.412878830962487"/>
  </r>
  <r>
    <x v="7"/>
    <s v="VS112_2025-01-11_16-28-44"/>
    <n v="-6.1278766191605653E-2"/>
    <n v="40.131868245752109"/>
    <n v="102.99918799093082"/>
    <n v="56.39522259582894"/>
  </r>
  <r>
    <x v="8"/>
    <s v="VS64_2023-02-15_17-07-03 "/>
    <n v="-9.1427266043963271E-2"/>
    <n v="16.682930619228006"/>
    <n v="60.895641289022983"/>
    <n v="26.054506512503924"/>
  </r>
  <r>
    <x v="8"/>
    <s v="VS65_2023-02-15_18-41-14 "/>
    <n v="-6.9114712241536716E-2"/>
    <n v="17.821566728354046"/>
    <n v="43.711127348271965"/>
    <n v="29.200080838684073"/>
  </r>
  <r>
    <x v="8"/>
    <s v="VS103_2024-11-10_14-58-13"/>
    <n v="-9.96055012534348E-2"/>
    <n v="12.029929189584383"/>
    <n v="37.233746473337916"/>
    <n v="18.813803714701994"/>
  </r>
  <r>
    <x v="8"/>
    <s v="VS104_2024-11-10_16-39-46"/>
    <n v="-0.35723557014321439"/>
    <n v="32.046371412807595"/>
    <n v="83.058493940722698"/>
    <n v="45.13665160702309"/>
  </r>
  <r>
    <x v="8"/>
    <s v="VS114_2025-01-12_16-10-36"/>
    <n v="7.2369224920750416E-2"/>
    <n v="26.167565951227672"/>
    <n v="75.430555555545141"/>
    <n v="33.819603415592006"/>
  </r>
  <r>
    <x v="9"/>
    <s v="VS15_2022-03-01_16-02-15 "/>
    <n v="-0.22812256390814167"/>
    <n v="46.849717154813334"/>
    <n v="92.787604622005816"/>
    <n v="63.276416417627736"/>
  </r>
  <r>
    <x v="9"/>
    <s v="VS61_2023-02-08_16-55-37 "/>
    <n v="-0.13480490078300153"/>
    <n v="15.974037665122681"/>
    <n v="47.752145490051582"/>
    <n v="23.763758443517617"/>
  </r>
  <r>
    <x v="9"/>
    <s v="VS65_2023-02-16_14-55-46 "/>
    <n v="-0.17744604977399725"/>
    <n v="17.535500398878529"/>
    <n v="57.327746798467004"/>
    <n v="33.233039310648337"/>
  </r>
  <r>
    <x v="9"/>
    <s v="VS110_2024-12-23_16-30-17"/>
    <n v="0.11983212724154699"/>
    <n v="16.124112131652328"/>
    <n v="36.77976919907902"/>
    <n v="22.898115825730827"/>
  </r>
  <r>
    <x v="9"/>
    <s v="VS114_2025-01-13_15-46-23"/>
    <n v="-0.14047017110441223"/>
    <n v="28.537115869080679"/>
    <n v="70.310813793531324"/>
    <n v="34.756037624388597"/>
  </r>
  <r>
    <x v="9"/>
    <s v="VS115_2025-01-13_16-51-03"/>
    <n v="-0.37650659419816984"/>
    <n v="57.201402523699379"/>
    <n v="134.87937167373053"/>
    <n v="70.568871358217322"/>
  </r>
  <r>
    <x v="10"/>
    <s v="VS15_2022-03-02_18-18-27 "/>
    <n v="-6.8820197891604373E-2"/>
    <n v="46.499304984798762"/>
    <n v="92.462653776338726"/>
    <n v="63.985180682331162"/>
  </r>
  <r>
    <x v="10"/>
    <s v="VS61_2023-02-09_17-18-50 "/>
    <n v="-6.6241234743033117E-2"/>
    <n v="13.221593583945433"/>
    <n v="32.312943528486642"/>
    <n v="21.01933091715015"/>
  </r>
  <r>
    <x v="10"/>
    <s v="VS106_2024-11-12_14-55-21"/>
    <n v="4.629703377543511E-3"/>
    <n v="23.639309899677645"/>
    <n v="54.708829365080646"/>
    <n v="35.8602573315814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A8B78-9844-4959-8C6F-9589B1BBAF3F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M39:N51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oyenne de Slope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A53E3-4965-42EC-8521-AF117EAF74CD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>
  <location ref="P8:Q20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oyenne de Max_speed_en_moyenne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9ED67-9EA4-4E70-B51B-5DD1D48622F4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27:I39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Écartype de Max_speed_en_moyenne" fld="5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3607B-C972-4687-B4E5-0A5E562F80B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8:I20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Écartype de meanspeed" fld="3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E90FB-5281-4362-81AF-F7BB5FBAA92F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>
  <location ref="M8:N20" firstHeaderRow="1" firstDataRow="1" firstDataCol="1"/>
  <pivotFields count="6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oyenne de meanspeed" fld="3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024FF-07F1-498B-818E-3BF0CC44ABFB}" name="Tableau1" displayName="Tableau1" ref="L2:P7" totalsRowShown="0" headerRowDxfId="6" dataDxfId="5">
  <autoFilter ref="L2:P7" xr:uid="{740024FF-07F1-498B-818E-3BF0CC44ABFB}"/>
  <tableColumns count="5">
    <tableColumn id="1" xr3:uid="{40E496E1-D400-43BF-B312-938E875CA07A}" name="Colonne1" dataDxfId="4"/>
    <tableColumn id="2" xr3:uid="{939380BA-F81E-4114-85D9-6DFB2B04E2FE}" name="nb sess" dataDxfId="3"/>
    <tableColumn id="3" xr3:uid="{D25D1B5C-4758-4A49-BC39-7A844C652738}" name="nb cell tot" dataDxfId="2"/>
    <tableColumn id="4" xr3:uid="{689784FC-6FD5-41C7-9BA3-B54BB00A049A}" name="nbpyr" dataDxfId="1"/>
    <tableColumn id="5" xr3:uid="{4F9087D5-D095-4845-B7C6-793C7F6E01A1}" name="nb PC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41C1-506C-442F-B70A-AEED827CBE83}">
  <sheetPr codeName="Feuil1">
    <pageSetUpPr fitToPage="1"/>
  </sheetPr>
  <dimension ref="A1:AK88"/>
  <sheetViews>
    <sheetView showFormulas="1" tabSelected="1" zoomScaleNormal="100" workbookViewId="0">
      <pane xSplit="1" topLeftCell="M1" activePane="topRight" state="frozen"/>
      <selection pane="topRight" activeCell="AG5" sqref="AG5"/>
    </sheetView>
  </sheetViews>
  <sheetFormatPr baseColWidth="10" defaultRowHeight="15" x14ac:dyDescent="0.25"/>
  <cols>
    <col min="1" max="2" width="12.5703125" customWidth="1"/>
    <col min="3" max="3" width="21" customWidth="1"/>
    <col min="4" max="4" width="6.42578125" customWidth="1"/>
    <col min="5" max="5" width="4.7109375" customWidth="1"/>
    <col min="6" max="6" width="4.140625" bestFit="1" customWidth="1"/>
    <col min="7" max="7" width="6.7109375" customWidth="1"/>
    <col min="8" max="8" width="2.85546875" customWidth="1"/>
    <col min="9" max="9" width="4.42578125" customWidth="1"/>
    <col min="10" max="10" width="5.28515625" customWidth="1"/>
    <col min="11" max="11" width="11.7109375" customWidth="1"/>
    <col min="12" max="12" width="13.5703125" customWidth="1"/>
    <col min="13" max="13" width="4.5703125" bestFit="1" customWidth="1"/>
    <col min="14" max="14" width="4" customWidth="1"/>
    <col min="15" max="15" width="4.42578125" bestFit="1" customWidth="1"/>
    <col min="16" max="16" width="3.42578125" bestFit="1" customWidth="1"/>
    <col min="17" max="17" width="2.28515625" bestFit="1" customWidth="1"/>
    <col min="18" max="18" width="4.28515625" customWidth="1"/>
    <col min="19" max="19" width="4.5703125" bestFit="1" customWidth="1"/>
    <col min="20" max="20" width="5.85546875" style="24" bestFit="1" customWidth="1"/>
    <col min="21" max="21" width="3.28515625" customWidth="1"/>
    <col min="22" max="22" width="3.28515625" style="59" customWidth="1"/>
    <col min="23" max="23" width="3.140625" bestFit="1" customWidth="1"/>
    <col min="24" max="24" width="3.140625" customWidth="1"/>
    <col min="25" max="25" width="6.28515625" bestFit="1" customWidth="1"/>
    <col min="26" max="26" width="14.7109375" hidden="1" customWidth="1"/>
    <col min="27" max="27" width="1.85546875" bestFit="1" customWidth="1"/>
    <col min="28" max="28" width="1.7109375" customWidth="1"/>
    <col min="29" max="29" width="3.28515625" bestFit="1" customWidth="1"/>
    <col min="30" max="30" width="3" customWidth="1"/>
    <col min="31" max="33" width="6.42578125" style="55" customWidth="1"/>
    <col min="34" max="34" width="3.7109375" customWidth="1"/>
    <col min="35" max="35" width="4.28515625" customWidth="1"/>
    <col min="36" max="36" width="2.5703125" customWidth="1"/>
    <col min="37" max="37" width="4.140625" customWidth="1"/>
  </cols>
  <sheetData>
    <row r="1" spans="1:37" s="2" customFormat="1" ht="81.75" customHeight="1" x14ac:dyDescent="0.25">
      <c r="A1" s="6" t="s">
        <v>0</v>
      </c>
      <c r="B1" s="1" t="s">
        <v>384</v>
      </c>
      <c r="C1" s="1" t="s">
        <v>197</v>
      </c>
      <c r="D1" s="2" t="s">
        <v>361</v>
      </c>
      <c r="E1" s="27" t="s">
        <v>346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87</v>
      </c>
      <c r="K1" s="6" t="s">
        <v>88</v>
      </c>
      <c r="L1" s="6" t="s">
        <v>89</v>
      </c>
      <c r="M1" s="6" t="s">
        <v>150</v>
      </c>
      <c r="N1" s="6" t="s">
        <v>151</v>
      </c>
      <c r="O1" s="6" t="s">
        <v>175</v>
      </c>
      <c r="P1" s="6" t="s">
        <v>177</v>
      </c>
      <c r="Q1" s="6" t="s">
        <v>176</v>
      </c>
      <c r="R1" s="6" t="s">
        <v>178</v>
      </c>
      <c r="S1" s="6" t="s">
        <v>179</v>
      </c>
      <c r="T1" s="23" t="s">
        <v>181</v>
      </c>
      <c r="U1" s="6" t="s">
        <v>193</v>
      </c>
      <c r="V1" s="85" t="s">
        <v>475</v>
      </c>
      <c r="W1" s="6" t="s">
        <v>474</v>
      </c>
      <c r="X1" s="6" t="s">
        <v>476</v>
      </c>
      <c r="Y1" s="6" t="s">
        <v>277</v>
      </c>
      <c r="Z1" s="2" t="s">
        <v>188</v>
      </c>
      <c r="AA1" s="2" t="s">
        <v>473</v>
      </c>
      <c r="AB1" s="2" t="s">
        <v>477</v>
      </c>
      <c r="AC1" s="2" t="s">
        <v>354</v>
      </c>
      <c r="AD1" s="6" t="s">
        <v>180</v>
      </c>
      <c r="AE1" s="56" t="s">
        <v>345</v>
      </c>
      <c r="AF1" s="56" t="s">
        <v>471</v>
      </c>
      <c r="AG1" s="56" t="s">
        <v>472</v>
      </c>
      <c r="AH1" s="6" t="s">
        <v>350</v>
      </c>
      <c r="AI1" s="6" t="s">
        <v>347</v>
      </c>
      <c r="AJ1" s="6" t="s">
        <v>349</v>
      </c>
      <c r="AK1" s="6" t="s">
        <v>348</v>
      </c>
    </row>
    <row r="2" spans="1:37" x14ac:dyDescent="0.25">
      <c r="A2" s="3" t="s">
        <v>10</v>
      </c>
      <c r="B2" s="27" t="s">
        <v>399</v>
      </c>
      <c r="C2" s="55" t="s">
        <v>201</v>
      </c>
      <c r="E2" s="27">
        <v>31</v>
      </c>
      <c r="F2" s="17">
        <v>60</v>
      </c>
      <c r="G2" s="3" t="s">
        <v>7</v>
      </c>
      <c r="H2" s="4">
        <v>64</v>
      </c>
      <c r="I2" s="3" t="s">
        <v>8</v>
      </c>
      <c r="J2" s="3" t="s">
        <v>95</v>
      </c>
      <c r="K2" s="3" t="s">
        <v>96</v>
      </c>
      <c r="L2" s="3" t="s">
        <v>378</v>
      </c>
      <c r="M2" s="3" t="s">
        <v>153</v>
      </c>
      <c r="N2" s="3" t="s">
        <v>154</v>
      </c>
      <c r="O2" s="3">
        <v>1</v>
      </c>
      <c r="P2" s="18">
        <v>1</v>
      </c>
      <c r="Q2" s="3">
        <v>1</v>
      </c>
      <c r="R2" s="18">
        <v>1</v>
      </c>
      <c r="S2" s="18">
        <v>1</v>
      </c>
      <c r="T2" s="8">
        <v>21</v>
      </c>
      <c r="U2" s="89">
        <v>9</v>
      </c>
      <c r="V2" s="18">
        <f>T2-U2</f>
        <v>12</v>
      </c>
      <c r="W2" s="8">
        <v>4</v>
      </c>
      <c r="X2" s="8">
        <v>10</v>
      </c>
      <c r="Y2" s="8">
        <v>1</v>
      </c>
      <c r="AA2">
        <v>0</v>
      </c>
      <c r="AC2">
        <v>1</v>
      </c>
      <c r="AD2" s="8">
        <v>0</v>
      </c>
      <c r="AE2" s="57">
        <v>1</v>
      </c>
      <c r="AF2" s="57">
        <v>0</v>
      </c>
      <c r="AG2" s="57">
        <v>0</v>
      </c>
      <c r="AH2" s="3">
        <v>0</v>
      </c>
      <c r="AI2" s="3">
        <v>0</v>
      </c>
      <c r="AJ2" s="3">
        <v>0</v>
      </c>
      <c r="AK2" s="3">
        <v>0</v>
      </c>
    </row>
    <row r="3" spans="1:37" x14ac:dyDescent="0.25">
      <c r="A3" s="69" t="s">
        <v>6</v>
      </c>
      <c r="B3" s="50" t="s">
        <v>415</v>
      </c>
      <c r="C3" s="54" t="s">
        <v>200</v>
      </c>
      <c r="E3" s="27"/>
      <c r="F3" s="3">
        <v>60</v>
      </c>
      <c r="G3" s="3" t="s">
        <v>7</v>
      </c>
      <c r="H3" s="4">
        <v>64</v>
      </c>
      <c r="I3" s="3" t="s">
        <v>8</v>
      </c>
      <c r="J3" s="3" t="s">
        <v>90</v>
      </c>
      <c r="K3" s="3" t="s">
        <v>91</v>
      </c>
      <c r="L3" s="3" t="s">
        <v>93</v>
      </c>
      <c r="M3" s="3" t="s">
        <v>152</v>
      </c>
      <c r="N3" s="3"/>
      <c r="O3" s="3">
        <v>1</v>
      </c>
      <c r="P3" s="5">
        <v>1</v>
      </c>
      <c r="Q3" s="69">
        <v>0</v>
      </c>
      <c r="R3" s="3">
        <v>0</v>
      </c>
      <c r="S3" s="3">
        <v>0</v>
      </c>
      <c r="T3" s="82">
        <v>0</v>
      </c>
      <c r="U3" s="69"/>
      <c r="V3" s="69">
        <f>T3-U3</f>
        <v>0</v>
      </c>
      <c r="W3" s="69">
        <v>0</v>
      </c>
      <c r="X3" s="69"/>
      <c r="Y3" s="8">
        <v>0</v>
      </c>
      <c r="AA3">
        <v>0</v>
      </c>
      <c r="AD3" s="8">
        <v>0</v>
      </c>
      <c r="AE3" s="57">
        <v>0</v>
      </c>
      <c r="AF3" s="57">
        <v>0</v>
      </c>
      <c r="AG3" s="57">
        <v>0</v>
      </c>
      <c r="AH3" s="3">
        <v>0</v>
      </c>
      <c r="AI3" s="3">
        <v>0</v>
      </c>
      <c r="AJ3" s="3">
        <v>0</v>
      </c>
      <c r="AK3" s="3">
        <v>0</v>
      </c>
    </row>
    <row r="4" spans="1:37" x14ac:dyDescent="0.25">
      <c r="A4" s="69" t="s">
        <v>9</v>
      </c>
      <c r="B4" s="50" t="s">
        <v>386</v>
      </c>
      <c r="C4" s="54" t="s">
        <v>199</v>
      </c>
      <c r="E4" s="27"/>
      <c r="F4" s="5">
        <v>60</v>
      </c>
      <c r="G4" s="5" t="s">
        <v>7</v>
      </c>
      <c r="H4" s="9">
        <v>64</v>
      </c>
      <c r="I4" s="5" t="s">
        <v>8</v>
      </c>
      <c r="J4" s="5" t="s">
        <v>90</v>
      </c>
      <c r="K4" s="5" t="s">
        <v>91</v>
      </c>
      <c r="L4" s="5" t="s">
        <v>94</v>
      </c>
      <c r="M4" s="5" t="s">
        <v>152</v>
      </c>
      <c r="N4" s="5"/>
      <c r="O4" s="5">
        <v>1</v>
      </c>
      <c r="P4" s="5">
        <v>1</v>
      </c>
      <c r="Q4" s="69">
        <v>0</v>
      </c>
      <c r="R4" s="5">
        <v>0</v>
      </c>
      <c r="S4" s="5">
        <v>0</v>
      </c>
      <c r="T4" s="82">
        <v>0</v>
      </c>
      <c r="U4" s="69"/>
      <c r="V4" s="69">
        <f>T4-U4</f>
        <v>0</v>
      </c>
      <c r="W4" s="69">
        <v>0</v>
      </c>
      <c r="X4" s="69"/>
      <c r="Y4" s="8">
        <v>0</v>
      </c>
      <c r="AA4">
        <v>0</v>
      </c>
      <c r="AD4" s="7">
        <v>0</v>
      </c>
      <c r="AE4" s="57">
        <v>0</v>
      </c>
      <c r="AF4" s="57">
        <v>0</v>
      </c>
      <c r="AG4" s="57">
        <v>0</v>
      </c>
      <c r="AH4" s="3">
        <v>0</v>
      </c>
      <c r="AI4" s="5">
        <v>0</v>
      </c>
      <c r="AJ4" s="5">
        <v>0</v>
      </c>
      <c r="AK4" s="5">
        <v>0</v>
      </c>
    </row>
    <row r="5" spans="1:37" x14ac:dyDescent="0.25">
      <c r="A5" s="69" t="s">
        <v>5</v>
      </c>
      <c r="B5" s="50" t="s">
        <v>385</v>
      </c>
      <c r="C5" s="54" t="s">
        <v>198</v>
      </c>
      <c r="E5" s="27"/>
      <c r="F5" s="5">
        <v>60</v>
      </c>
      <c r="G5" s="5" t="s">
        <v>7</v>
      </c>
      <c r="H5" s="5">
        <v>64</v>
      </c>
      <c r="I5" s="5" t="s">
        <v>8</v>
      </c>
      <c r="J5" s="5" t="s">
        <v>90</v>
      </c>
      <c r="K5" s="5" t="s">
        <v>91</v>
      </c>
      <c r="L5" s="5" t="s">
        <v>92</v>
      </c>
      <c r="M5" s="5" t="s">
        <v>152</v>
      </c>
      <c r="N5" s="5" t="s">
        <v>183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87">
        <v>0</v>
      </c>
      <c r="U5" s="76"/>
      <c r="V5" s="69">
        <f>T5-U5</f>
        <v>0</v>
      </c>
      <c r="W5" s="76">
        <v>0</v>
      </c>
      <c r="X5" s="76"/>
      <c r="Y5" s="7">
        <v>0</v>
      </c>
      <c r="AA5">
        <v>0</v>
      </c>
      <c r="AD5" s="10">
        <v>0</v>
      </c>
      <c r="AE5" s="57">
        <v>0</v>
      </c>
      <c r="AF5" s="57">
        <v>0</v>
      </c>
      <c r="AG5" s="57">
        <v>0</v>
      </c>
      <c r="AH5" s="3">
        <v>0</v>
      </c>
      <c r="AI5" s="5">
        <v>0</v>
      </c>
      <c r="AJ5" s="5">
        <v>0</v>
      </c>
      <c r="AK5" s="5">
        <v>0</v>
      </c>
    </row>
    <row r="6" spans="1:37" x14ac:dyDescent="0.25">
      <c r="A6" s="8" t="s">
        <v>369</v>
      </c>
      <c r="B6" t="s">
        <v>425</v>
      </c>
      <c r="C6" s="55" t="s">
        <v>376</v>
      </c>
      <c r="E6" s="27">
        <v>18.899999999999999</v>
      </c>
      <c r="F6" s="3">
        <v>30</v>
      </c>
      <c r="G6" s="3" t="s">
        <v>25</v>
      </c>
      <c r="H6" s="4">
        <v>5</v>
      </c>
      <c r="I6" s="3" t="s">
        <v>48</v>
      </c>
      <c r="J6" s="3" t="s">
        <v>95</v>
      </c>
      <c r="K6" s="3" t="s">
        <v>96</v>
      </c>
      <c r="L6" s="3" t="s">
        <v>103</v>
      </c>
      <c r="M6" s="3" t="s">
        <v>153</v>
      </c>
      <c r="N6" s="8"/>
      <c r="O6" s="73">
        <v>1</v>
      </c>
      <c r="P6" s="3">
        <v>1</v>
      </c>
      <c r="Q6" s="3">
        <v>1</v>
      </c>
      <c r="R6" s="75">
        <v>1</v>
      </c>
      <c r="S6" s="75">
        <v>1</v>
      </c>
      <c r="T6" s="95">
        <v>29</v>
      </c>
      <c r="U6" s="98">
        <v>16</v>
      </c>
      <c r="V6" s="18">
        <f>T6-U6</f>
        <v>13</v>
      </c>
      <c r="W6" s="95">
        <v>4</v>
      </c>
      <c r="X6" s="95">
        <v>2</v>
      </c>
      <c r="Y6" s="8">
        <v>1</v>
      </c>
      <c r="AA6">
        <v>1</v>
      </c>
      <c r="AB6">
        <v>1</v>
      </c>
      <c r="AC6">
        <v>1</v>
      </c>
      <c r="AD6" s="8"/>
      <c r="AE6" s="58">
        <v>1</v>
      </c>
      <c r="AF6" s="58">
        <v>0</v>
      </c>
      <c r="AG6" s="57">
        <v>0</v>
      </c>
      <c r="AH6" s="8"/>
      <c r="AI6" s="8"/>
      <c r="AJ6" s="8"/>
      <c r="AK6" s="8"/>
    </row>
    <row r="7" spans="1:37" x14ac:dyDescent="0.25">
      <c r="A7" s="8" t="s">
        <v>370</v>
      </c>
      <c r="B7" t="s">
        <v>426</v>
      </c>
      <c r="C7" s="55" t="s">
        <v>377</v>
      </c>
      <c r="E7" s="27">
        <v>20.8</v>
      </c>
      <c r="F7" s="5">
        <v>29</v>
      </c>
      <c r="G7" s="3" t="s">
        <v>25</v>
      </c>
      <c r="H7" s="9">
        <v>5</v>
      </c>
      <c r="I7" s="3" t="s">
        <v>48</v>
      </c>
      <c r="J7" s="5" t="s">
        <v>95</v>
      </c>
      <c r="K7" s="5" t="s">
        <v>96</v>
      </c>
      <c r="L7" s="5" t="s">
        <v>127</v>
      </c>
      <c r="M7" s="5" t="s">
        <v>152</v>
      </c>
      <c r="N7" s="8"/>
      <c r="O7" s="73" t="s">
        <v>382</v>
      </c>
      <c r="P7" s="3">
        <v>1</v>
      </c>
      <c r="Q7" s="3">
        <v>1</v>
      </c>
      <c r="R7" s="75">
        <v>1</v>
      </c>
      <c r="S7" s="75">
        <v>1</v>
      </c>
      <c r="T7" s="95">
        <v>40</v>
      </c>
      <c r="U7" s="98">
        <v>30</v>
      </c>
      <c r="V7" s="18">
        <f>T7-U7</f>
        <v>10</v>
      </c>
      <c r="W7" s="95">
        <v>6</v>
      </c>
      <c r="X7" s="95">
        <v>3</v>
      </c>
      <c r="Y7" s="8">
        <v>1</v>
      </c>
      <c r="AA7">
        <v>1</v>
      </c>
      <c r="AB7">
        <v>1</v>
      </c>
      <c r="AC7">
        <v>1</v>
      </c>
      <c r="AD7" s="8"/>
      <c r="AE7" s="58">
        <v>1</v>
      </c>
      <c r="AF7" s="58">
        <v>0</v>
      </c>
      <c r="AG7" s="57">
        <v>0</v>
      </c>
      <c r="AH7" s="8"/>
      <c r="AI7" s="8"/>
      <c r="AJ7" s="8"/>
      <c r="AK7" s="8"/>
    </row>
    <row r="8" spans="1:37" x14ac:dyDescent="0.25">
      <c r="A8" s="74" t="s">
        <v>368</v>
      </c>
      <c r="B8" s="67" t="s">
        <v>424</v>
      </c>
      <c r="C8" s="67" t="s">
        <v>375</v>
      </c>
      <c r="E8" s="27">
        <v>18.5</v>
      </c>
      <c r="F8" s="5">
        <v>29</v>
      </c>
      <c r="G8" s="3" t="s">
        <v>25</v>
      </c>
      <c r="H8" s="5">
        <v>64</v>
      </c>
      <c r="I8" s="3" t="s">
        <v>48</v>
      </c>
      <c r="J8" s="5" t="s">
        <v>95</v>
      </c>
      <c r="K8" s="5" t="s">
        <v>96</v>
      </c>
      <c r="L8" s="5" t="s">
        <v>103</v>
      </c>
      <c r="M8" s="5" t="s">
        <v>152</v>
      </c>
      <c r="N8" s="8"/>
      <c r="O8" s="69" t="s">
        <v>380</v>
      </c>
      <c r="P8" s="3">
        <v>1</v>
      </c>
      <c r="Q8" s="3">
        <v>1</v>
      </c>
      <c r="R8" s="75"/>
      <c r="S8" s="8"/>
      <c r="T8" s="105">
        <v>1</v>
      </c>
      <c r="U8" s="106"/>
      <c r="V8" s="18">
        <f>T8-U8</f>
        <v>1</v>
      </c>
      <c r="W8" s="106"/>
      <c r="X8" s="106"/>
      <c r="Y8" s="8">
        <v>1</v>
      </c>
      <c r="AA8">
        <v>0</v>
      </c>
      <c r="AD8" s="8"/>
      <c r="AE8" s="58">
        <v>0</v>
      </c>
      <c r="AF8" s="58">
        <v>0</v>
      </c>
      <c r="AG8" s="57">
        <v>0</v>
      </c>
      <c r="AH8" s="8"/>
      <c r="AI8" s="8"/>
      <c r="AJ8" s="8"/>
      <c r="AK8" s="8"/>
    </row>
    <row r="9" spans="1:37" x14ac:dyDescent="0.25">
      <c r="A9" s="18" t="s">
        <v>71</v>
      </c>
      <c r="B9" s="60" t="s">
        <v>401</v>
      </c>
      <c r="C9" s="55" t="s">
        <v>261</v>
      </c>
      <c r="D9" s="59"/>
      <c r="E9" s="60">
        <v>16.8</v>
      </c>
      <c r="F9" s="18">
        <v>25</v>
      </c>
      <c r="G9" s="18" t="s">
        <v>25</v>
      </c>
      <c r="H9" s="61">
        <v>5</v>
      </c>
      <c r="I9" s="18" t="s">
        <v>48</v>
      </c>
      <c r="J9" s="18" t="s">
        <v>95</v>
      </c>
      <c r="K9" s="18" t="s">
        <v>131</v>
      </c>
      <c r="L9" s="18" t="s">
        <v>136</v>
      </c>
      <c r="M9" s="18" t="s">
        <v>153</v>
      </c>
      <c r="N9" s="18"/>
      <c r="O9" s="18">
        <v>1</v>
      </c>
      <c r="P9" s="18">
        <v>1</v>
      </c>
      <c r="Q9" s="18">
        <v>1</v>
      </c>
      <c r="R9" s="18">
        <v>1</v>
      </c>
      <c r="S9" s="18">
        <v>1</v>
      </c>
      <c r="T9">
        <v>20</v>
      </c>
      <c r="U9" s="86">
        <v>7</v>
      </c>
      <c r="V9" s="18">
        <f>T9-U9</f>
        <v>13</v>
      </c>
      <c r="W9">
        <v>4</v>
      </c>
      <c r="X9">
        <v>11</v>
      </c>
      <c r="Y9" s="62">
        <v>1</v>
      </c>
      <c r="Z9" s="59"/>
      <c r="AA9" s="59">
        <v>1</v>
      </c>
      <c r="AB9" s="59">
        <v>1</v>
      </c>
      <c r="AC9" s="59">
        <v>1</v>
      </c>
      <c r="AD9" s="18">
        <v>0</v>
      </c>
      <c r="AE9" s="18">
        <v>1</v>
      </c>
      <c r="AF9" s="18">
        <v>0</v>
      </c>
      <c r="AG9" s="57">
        <v>1</v>
      </c>
      <c r="AH9" s="18">
        <v>0</v>
      </c>
      <c r="AI9" s="18">
        <v>1</v>
      </c>
      <c r="AJ9" s="18">
        <v>0</v>
      </c>
      <c r="AK9" s="18">
        <v>1</v>
      </c>
    </row>
    <row r="10" spans="1:37" x14ac:dyDescent="0.25">
      <c r="A10" s="3" t="s">
        <v>67</v>
      </c>
      <c r="B10" s="27" t="s">
        <v>396</v>
      </c>
      <c r="C10" s="55" t="s">
        <v>246</v>
      </c>
      <c r="E10" s="27">
        <v>16.899999999999999</v>
      </c>
      <c r="F10" s="3">
        <v>25</v>
      </c>
      <c r="G10" s="3" t="s">
        <v>25</v>
      </c>
      <c r="H10" s="4">
        <v>5</v>
      </c>
      <c r="I10" s="3" t="s">
        <v>8</v>
      </c>
      <c r="J10" s="3" t="s">
        <v>95</v>
      </c>
      <c r="K10" s="3" t="s">
        <v>125</v>
      </c>
      <c r="L10" s="3" t="s">
        <v>129</v>
      </c>
      <c r="M10" s="3" t="s">
        <v>152</v>
      </c>
      <c r="N10" s="3"/>
      <c r="O10" s="3">
        <v>1</v>
      </c>
      <c r="P10" s="3">
        <v>1</v>
      </c>
      <c r="Q10" s="3">
        <v>1</v>
      </c>
      <c r="R10" s="3">
        <v>1</v>
      </c>
      <c r="S10" s="3">
        <v>1</v>
      </c>
      <c r="T10">
        <v>11</v>
      </c>
      <c r="U10" s="86">
        <v>1</v>
      </c>
      <c r="V10" s="18">
        <f>T10-U10</f>
        <v>10</v>
      </c>
      <c r="W10">
        <v>0</v>
      </c>
      <c r="X10">
        <v>8</v>
      </c>
      <c r="Y10" s="8">
        <v>1</v>
      </c>
      <c r="AA10">
        <v>0</v>
      </c>
      <c r="AD10" s="3">
        <v>0</v>
      </c>
      <c r="AE10" s="57">
        <v>1</v>
      </c>
      <c r="AF10" s="57">
        <v>1</v>
      </c>
      <c r="AG10" s="57">
        <v>1</v>
      </c>
      <c r="AH10" s="3">
        <v>0</v>
      </c>
      <c r="AI10" s="3">
        <v>1</v>
      </c>
      <c r="AJ10" s="3">
        <v>0</v>
      </c>
      <c r="AK10" s="3">
        <v>1</v>
      </c>
    </row>
    <row r="11" spans="1:37" x14ac:dyDescent="0.25">
      <c r="A11" s="3" t="s">
        <v>30</v>
      </c>
      <c r="B11" s="27" t="s">
        <v>444</v>
      </c>
      <c r="C11" s="55" t="s">
        <v>221</v>
      </c>
      <c r="E11" s="45">
        <v>15</v>
      </c>
      <c r="F11" s="3">
        <v>25</v>
      </c>
      <c r="G11" s="3" t="s">
        <v>25</v>
      </c>
      <c r="H11" s="4">
        <v>5</v>
      </c>
      <c r="I11" s="3" t="s">
        <v>8</v>
      </c>
      <c r="J11" s="3" t="s">
        <v>95</v>
      </c>
      <c r="K11" s="3" t="s">
        <v>96</v>
      </c>
      <c r="L11" s="3" t="s">
        <v>103</v>
      </c>
      <c r="M11" s="3" t="s">
        <v>153</v>
      </c>
      <c r="N11" s="3" t="s">
        <v>162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8">
        <v>15</v>
      </c>
      <c r="U11" s="89">
        <v>7</v>
      </c>
      <c r="V11" s="18">
        <f>T11-U11</f>
        <v>8</v>
      </c>
      <c r="W11" s="8">
        <v>2</v>
      </c>
      <c r="X11" s="8">
        <v>3</v>
      </c>
      <c r="Y11" s="8">
        <v>1</v>
      </c>
      <c r="Z11" s="46"/>
      <c r="AA11">
        <v>1</v>
      </c>
      <c r="AB11">
        <v>1</v>
      </c>
      <c r="AC11">
        <v>1</v>
      </c>
      <c r="AD11" s="3">
        <v>0</v>
      </c>
      <c r="AE11" s="57">
        <v>1</v>
      </c>
      <c r="AF11" s="57">
        <v>0</v>
      </c>
      <c r="AG11" s="57">
        <v>1</v>
      </c>
      <c r="AH11" s="3">
        <v>1</v>
      </c>
      <c r="AI11" s="3">
        <v>1</v>
      </c>
      <c r="AJ11" s="3">
        <v>1</v>
      </c>
      <c r="AK11" s="3">
        <v>1</v>
      </c>
    </row>
    <row r="12" spans="1:37" x14ac:dyDescent="0.25">
      <c r="A12" s="3" t="s">
        <v>14</v>
      </c>
      <c r="B12" s="27" t="s">
        <v>428</v>
      </c>
      <c r="C12" s="43" t="s">
        <v>205</v>
      </c>
      <c r="E12" s="45">
        <v>16</v>
      </c>
      <c r="F12" s="3">
        <v>25</v>
      </c>
      <c r="G12" s="3" t="s">
        <v>7</v>
      </c>
      <c r="H12" s="4">
        <v>64</v>
      </c>
      <c r="I12" s="3" t="s">
        <v>8</v>
      </c>
      <c r="J12" s="3" t="s">
        <v>95</v>
      </c>
      <c r="K12" s="3" t="s">
        <v>98</v>
      </c>
      <c r="L12" s="3" t="s">
        <v>99</v>
      </c>
      <c r="M12" s="3" t="s">
        <v>153</v>
      </c>
      <c r="N12" s="3" t="s">
        <v>155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95">
        <v>55</v>
      </c>
      <c r="U12" s="98">
        <v>34</v>
      </c>
      <c r="V12" s="18">
        <f>T12-U12</f>
        <v>21</v>
      </c>
      <c r="W12" s="95">
        <v>32</v>
      </c>
      <c r="X12" s="95">
        <v>20</v>
      </c>
      <c r="Y12" s="8">
        <v>1</v>
      </c>
      <c r="AA12">
        <v>43</v>
      </c>
      <c r="AB12">
        <v>1</v>
      </c>
      <c r="AC12" s="43">
        <v>1</v>
      </c>
      <c r="AD12" s="3">
        <v>0</v>
      </c>
      <c r="AE12" s="57">
        <v>1</v>
      </c>
      <c r="AF12" s="57">
        <v>1</v>
      </c>
      <c r="AG12" s="57">
        <v>1</v>
      </c>
      <c r="AH12" s="3">
        <v>1</v>
      </c>
      <c r="AI12" s="3">
        <v>0</v>
      </c>
      <c r="AJ12" s="3">
        <v>1</v>
      </c>
      <c r="AK12" s="3">
        <v>0</v>
      </c>
    </row>
    <row r="13" spans="1:37" x14ac:dyDescent="0.25">
      <c r="A13" s="63" t="s">
        <v>86</v>
      </c>
      <c r="B13" s="65" t="s">
        <v>419</v>
      </c>
      <c r="C13" s="55" t="s">
        <v>276</v>
      </c>
      <c r="D13" s="64"/>
      <c r="E13" s="64"/>
      <c r="F13" s="63">
        <v>24</v>
      </c>
      <c r="G13" s="63" t="s">
        <v>25</v>
      </c>
      <c r="H13" s="72">
        <v>64</v>
      </c>
      <c r="I13" s="63" t="s">
        <v>48</v>
      </c>
      <c r="J13" s="63" t="s">
        <v>95</v>
      </c>
      <c r="K13" s="63" t="s">
        <v>96</v>
      </c>
      <c r="L13" s="63" t="s">
        <v>103</v>
      </c>
      <c r="M13" s="63" t="s">
        <v>337</v>
      </c>
      <c r="N13" s="63"/>
      <c r="O13" s="63">
        <v>1</v>
      </c>
      <c r="P13" s="63">
        <v>1</v>
      </c>
      <c r="Q13" s="63">
        <v>1</v>
      </c>
      <c r="R13" s="63">
        <v>1</v>
      </c>
      <c r="S13" s="70" t="s">
        <v>379</v>
      </c>
      <c r="T13" s="95">
        <v>14</v>
      </c>
      <c r="U13" s="98">
        <v>3</v>
      </c>
      <c r="V13" s="18">
        <f>T13-U13</f>
        <v>11</v>
      </c>
      <c r="W13" s="95">
        <v>0</v>
      </c>
      <c r="X13" s="95">
        <v>3</v>
      </c>
      <c r="Y13" s="7">
        <v>1</v>
      </c>
      <c r="AA13">
        <v>0</v>
      </c>
      <c r="AD13" s="5">
        <v>0</v>
      </c>
      <c r="AE13" s="57">
        <v>1</v>
      </c>
      <c r="AF13" s="57">
        <v>1</v>
      </c>
      <c r="AG13" s="57">
        <v>1</v>
      </c>
      <c r="AH13" s="3">
        <v>0</v>
      </c>
      <c r="AI13" s="5">
        <v>0</v>
      </c>
      <c r="AJ13" s="5">
        <v>0</v>
      </c>
      <c r="AK13" s="5">
        <v>0</v>
      </c>
    </row>
    <row r="14" spans="1:37" x14ac:dyDescent="0.25">
      <c r="A14" s="5" t="s">
        <v>76</v>
      </c>
      <c r="B14" s="50" t="s">
        <v>406</v>
      </c>
      <c r="C14" s="55" t="s">
        <v>266</v>
      </c>
      <c r="E14" s="27">
        <v>15.6</v>
      </c>
      <c r="F14" s="5">
        <v>24</v>
      </c>
      <c r="G14" s="5" t="s">
        <v>25</v>
      </c>
      <c r="H14" s="5">
        <v>77</v>
      </c>
      <c r="I14" s="5" t="s">
        <v>48</v>
      </c>
      <c r="J14" s="5" t="s">
        <v>95</v>
      </c>
      <c r="K14" s="5" t="s">
        <v>144</v>
      </c>
      <c r="L14" s="5" t="s">
        <v>145</v>
      </c>
      <c r="M14" s="5" t="s">
        <v>152</v>
      </c>
      <c r="N14" s="5"/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95">
        <v>9</v>
      </c>
      <c r="U14" s="98">
        <v>1</v>
      </c>
      <c r="V14" s="18">
        <f>T14-U14</f>
        <v>8</v>
      </c>
      <c r="W14" s="95">
        <v>1</v>
      </c>
      <c r="X14" s="95">
        <v>8</v>
      </c>
      <c r="Y14" s="8">
        <v>1</v>
      </c>
      <c r="AA14">
        <v>0</v>
      </c>
      <c r="AD14" s="5">
        <v>0</v>
      </c>
      <c r="AE14" s="57">
        <v>1</v>
      </c>
      <c r="AF14" s="57">
        <v>0</v>
      </c>
      <c r="AG14" s="57">
        <v>1</v>
      </c>
      <c r="AH14" s="3">
        <v>0</v>
      </c>
      <c r="AI14" s="5">
        <v>1</v>
      </c>
      <c r="AJ14" s="5">
        <v>0</v>
      </c>
      <c r="AK14" s="5">
        <v>1</v>
      </c>
    </row>
    <row r="15" spans="1:37" s="64" customFormat="1" x14ac:dyDescent="0.25">
      <c r="A15" s="3" t="s">
        <v>75</v>
      </c>
      <c r="B15" s="27" t="s">
        <v>405</v>
      </c>
      <c r="C15" s="55" t="s">
        <v>265</v>
      </c>
      <c r="D15"/>
      <c r="E15" s="27">
        <v>15.7</v>
      </c>
      <c r="F15" s="3">
        <v>24</v>
      </c>
      <c r="G15" s="3" t="s">
        <v>25</v>
      </c>
      <c r="H15" s="4">
        <v>5</v>
      </c>
      <c r="I15" s="3" t="s">
        <v>48</v>
      </c>
      <c r="J15" s="3" t="s">
        <v>95</v>
      </c>
      <c r="K15" s="3" t="s">
        <v>142</v>
      </c>
      <c r="L15" s="3" t="s">
        <v>143</v>
      </c>
      <c r="M15" s="3" t="s">
        <v>152</v>
      </c>
      <c r="N15" s="3"/>
      <c r="O15" s="3">
        <v>1</v>
      </c>
      <c r="P15" s="3">
        <v>1</v>
      </c>
      <c r="Q15" s="3">
        <v>1</v>
      </c>
      <c r="R15" s="3">
        <v>1</v>
      </c>
      <c r="S15" s="3">
        <v>1</v>
      </c>
      <c r="T15">
        <v>5</v>
      </c>
      <c r="U15" s="86">
        <v>3</v>
      </c>
      <c r="V15" s="18">
        <f>T15-U15</f>
        <v>2</v>
      </c>
      <c r="W15">
        <v>2</v>
      </c>
      <c r="X15">
        <v>1</v>
      </c>
      <c r="Y15" s="8">
        <v>1</v>
      </c>
      <c r="Z15"/>
      <c r="AA15">
        <v>1</v>
      </c>
      <c r="AB15"/>
      <c r="AC15"/>
      <c r="AD15" s="3">
        <v>0</v>
      </c>
      <c r="AE15" s="57">
        <v>1</v>
      </c>
      <c r="AF15" s="57">
        <v>0</v>
      </c>
      <c r="AG15" s="57">
        <v>1</v>
      </c>
      <c r="AH15" s="3">
        <v>0</v>
      </c>
      <c r="AI15" s="5">
        <v>1</v>
      </c>
      <c r="AJ15" s="5">
        <v>0</v>
      </c>
      <c r="AK15" s="5">
        <v>1</v>
      </c>
    </row>
    <row r="16" spans="1:37" x14ac:dyDescent="0.25">
      <c r="A16" s="5" t="s">
        <v>70</v>
      </c>
      <c r="B16" s="50" t="s">
        <v>400</v>
      </c>
      <c r="C16" s="55" t="s">
        <v>260</v>
      </c>
      <c r="E16" s="27">
        <v>14.3</v>
      </c>
      <c r="F16" s="5">
        <v>24</v>
      </c>
      <c r="G16" s="5" t="s">
        <v>25</v>
      </c>
      <c r="H16" s="9">
        <v>5</v>
      </c>
      <c r="I16" s="5" t="s">
        <v>48</v>
      </c>
      <c r="J16" s="5" t="s">
        <v>95</v>
      </c>
      <c r="K16" s="5" t="s">
        <v>134</v>
      </c>
      <c r="L16" s="5" t="s">
        <v>135</v>
      </c>
      <c r="M16" s="5" t="s">
        <v>152</v>
      </c>
      <c r="N16" s="5"/>
      <c r="O16" s="5">
        <v>1</v>
      </c>
      <c r="P16" s="5">
        <v>1</v>
      </c>
      <c r="Q16" s="5">
        <v>1</v>
      </c>
      <c r="R16" s="5">
        <v>1</v>
      </c>
      <c r="S16" s="5">
        <v>1</v>
      </c>
      <c r="T16">
        <v>18</v>
      </c>
      <c r="U16" s="86">
        <v>0</v>
      </c>
      <c r="V16" s="18">
        <f>T16-U16</f>
        <v>18</v>
      </c>
      <c r="W16">
        <v>0</v>
      </c>
      <c r="X16">
        <v>15</v>
      </c>
      <c r="Y16" s="8">
        <v>1</v>
      </c>
      <c r="AA16">
        <v>0</v>
      </c>
      <c r="AD16" s="5">
        <v>0</v>
      </c>
      <c r="AE16" s="57">
        <v>1</v>
      </c>
      <c r="AF16" s="57">
        <v>0</v>
      </c>
      <c r="AG16" s="57">
        <v>1</v>
      </c>
      <c r="AH16" s="3">
        <v>1</v>
      </c>
      <c r="AI16" s="5">
        <v>1</v>
      </c>
      <c r="AJ16" s="5">
        <v>0</v>
      </c>
      <c r="AK16" s="5">
        <v>1</v>
      </c>
    </row>
    <row r="17" spans="1:37" x14ac:dyDescent="0.25">
      <c r="A17" s="3" t="s">
        <v>34</v>
      </c>
      <c r="B17" s="27" t="s">
        <v>448</v>
      </c>
      <c r="C17" s="55" t="s">
        <v>225</v>
      </c>
      <c r="E17" s="45">
        <v>15</v>
      </c>
      <c r="F17" s="3">
        <v>24</v>
      </c>
      <c r="G17" s="3" t="s">
        <v>25</v>
      </c>
      <c r="H17" s="4">
        <v>5</v>
      </c>
      <c r="I17" s="3" t="s">
        <v>8</v>
      </c>
      <c r="J17" s="3" t="s">
        <v>95</v>
      </c>
      <c r="K17" s="3" t="s">
        <v>96</v>
      </c>
      <c r="L17" s="3" t="s">
        <v>103</v>
      </c>
      <c r="M17" s="3" t="s">
        <v>152</v>
      </c>
      <c r="N17" s="3" t="s">
        <v>166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>
        <v>25</v>
      </c>
      <c r="U17" s="86">
        <v>5</v>
      </c>
      <c r="V17" s="18">
        <f>T17-U17</f>
        <v>20</v>
      </c>
      <c r="W17">
        <v>2</v>
      </c>
      <c r="X17">
        <v>2</v>
      </c>
      <c r="Y17" s="8">
        <v>1</v>
      </c>
      <c r="AA17">
        <v>1</v>
      </c>
      <c r="AD17" s="3">
        <v>0</v>
      </c>
      <c r="AE17" s="57">
        <v>1</v>
      </c>
      <c r="AF17" s="57">
        <v>0</v>
      </c>
      <c r="AG17" s="57">
        <v>1</v>
      </c>
      <c r="AH17" s="3">
        <v>1</v>
      </c>
      <c r="AI17" s="5">
        <v>1</v>
      </c>
      <c r="AJ17" s="5">
        <v>1</v>
      </c>
      <c r="AK17" s="5">
        <v>1</v>
      </c>
    </row>
    <row r="18" spans="1:37" x14ac:dyDescent="0.25">
      <c r="A18" s="5" t="s">
        <v>29</v>
      </c>
      <c r="B18" s="50" t="s">
        <v>443</v>
      </c>
      <c r="C18" s="55" t="s">
        <v>220</v>
      </c>
      <c r="E18" s="45">
        <v>14</v>
      </c>
      <c r="F18" s="5">
        <v>24</v>
      </c>
      <c r="G18" s="5" t="s">
        <v>25</v>
      </c>
      <c r="H18" s="9">
        <v>5</v>
      </c>
      <c r="I18" s="5" t="s">
        <v>8</v>
      </c>
      <c r="J18" s="5" t="s">
        <v>95</v>
      </c>
      <c r="K18" s="5" t="s">
        <v>96</v>
      </c>
      <c r="L18" s="5" t="s">
        <v>103</v>
      </c>
      <c r="M18" s="5" t="s">
        <v>152</v>
      </c>
      <c r="N18" s="5" t="s">
        <v>161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>
        <v>5</v>
      </c>
      <c r="U18" s="86">
        <v>0</v>
      </c>
      <c r="V18" s="18">
        <f>T18-U18</f>
        <v>5</v>
      </c>
      <c r="W18">
        <v>0</v>
      </c>
      <c r="X18">
        <v>0</v>
      </c>
      <c r="Y18" s="8">
        <v>1</v>
      </c>
      <c r="AA18">
        <v>1</v>
      </c>
      <c r="AD18" s="5">
        <v>0</v>
      </c>
      <c r="AE18" s="57">
        <v>1</v>
      </c>
      <c r="AF18" s="57">
        <v>0</v>
      </c>
      <c r="AG18" s="57">
        <v>1</v>
      </c>
      <c r="AH18" s="3">
        <v>0</v>
      </c>
      <c r="AI18" s="5">
        <v>0</v>
      </c>
      <c r="AJ18" s="5">
        <v>0</v>
      </c>
      <c r="AK18" s="5">
        <v>0</v>
      </c>
    </row>
    <row r="19" spans="1:37" s="59" customFormat="1" x14ac:dyDescent="0.25">
      <c r="A19" s="69" t="s">
        <v>21</v>
      </c>
      <c r="B19" s="50" t="s">
        <v>435</v>
      </c>
      <c r="C19" s="43" t="s">
        <v>212</v>
      </c>
      <c r="D19"/>
      <c r="E19" s="45">
        <v>14</v>
      </c>
      <c r="F19" s="5">
        <v>24</v>
      </c>
      <c r="G19" s="5" t="s">
        <v>7</v>
      </c>
      <c r="H19" s="9">
        <v>5</v>
      </c>
      <c r="I19" s="5" t="s">
        <v>8</v>
      </c>
      <c r="J19" s="5" t="s">
        <v>95</v>
      </c>
      <c r="K19" s="5" t="s">
        <v>104</v>
      </c>
      <c r="L19" s="5" t="s">
        <v>105</v>
      </c>
      <c r="M19" s="5" t="s">
        <v>153</v>
      </c>
      <c r="N19" s="5"/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84">
        <v>0</v>
      </c>
      <c r="U19" s="76"/>
      <c r="V19" s="18">
        <f>T19-U19</f>
        <v>0</v>
      </c>
      <c r="W19" s="76"/>
      <c r="X19" s="76"/>
      <c r="Y19" s="8">
        <v>0</v>
      </c>
      <c r="Z19"/>
      <c r="AA19">
        <v>0</v>
      </c>
      <c r="AB19"/>
      <c r="AC19"/>
      <c r="AD19" s="5">
        <v>0</v>
      </c>
      <c r="AE19" s="57">
        <v>0</v>
      </c>
      <c r="AF19" s="57">
        <v>0</v>
      </c>
      <c r="AG19" s="57">
        <v>0</v>
      </c>
      <c r="AH19" s="3">
        <v>0</v>
      </c>
      <c r="AI19" s="5">
        <v>0</v>
      </c>
      <c r="AJ19" s="5">
        <v>0</v>
      </c>
      <c r="AK19" s="5">
        <v>0</v>
      </c>
    </row>
    <row r="20" spans="1:37" x14ac:dyDescent="0.25">
      <c r="A20" s="5" t="s">
        <v>13</v>
      </c>
      <c r="B20" s="50" t="s">
        <v>427</v>
      </c>
      <c r="C20" s="43" t="s">
        <v>204</v>
      </c>
      <c r="E20" s="27">
        <v>15.6</v>
      </c>
      <c r="F20" s="5">
        <v>24</v>
      </c>
      <c r="G20" s="5" t="s">
        <v>7</v>
      </c>
      <c r="H20" s="9">
        <v>64</v>
      </c>
      <c r="I20" s="5" t="s">
        <v>8</v>
      </c>
      <c r="J20" s="5" t="s">
        <v>95</v>
      </c>
      <c r="K20" s="5" t="s">
        <v>96</v>
      </c>
      <c r="L20" s="5" t="s">
        <v>195</v>
      </c>
      <c r="M20" s="5" t="s">
        <v>153</v>
      </c>
      <c r="N20" s="5" t="s">
        <v>155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>
        <v>7</v>
      </c>
      <c r="U20" s="86">
        <v>4</v>
      </c>
      <c r="V20" s="18">
        <f>T20-U20</f>
        <v>3</v>
      </c>
      <c r="W20">
        <v>4</v>
      </c>
      <c r="X20">
        <v>2</v>
      </c>
      <c r="Y20" s="8">
        <v>1</v>
      </c>
      <c r="AA20">
        <v>1</v>
      </c>
      <c r="AB20">
        <v>1</v>
      </c>
      <c r="AD20" s="5">
        <v>0</v>
      </c>
      <c r="AE20" s="57">
        <v>1</v>
      </c>
      <c r="AF20" s="57">
        <v>1</v>
      </c>
      <c r="AG20" s="57">
        <v>1</v>
      </c>
      <c r="AH20" s="3">
        <v>1</v>
      </c>
      <c r="AI20" s="5">
        <v>1</v>
      </c>
      <c r="AJ20" s="5">
        <v>1</v>
      </c>
      <c r="AK20" s="5">
        <v>1</v>
      </c>
    </row>
    <row r="21" spans="1:37" x14ac:dyDescent="0.25">
      <c r="A21" s="63" t="s">
        <v>85</v>
      </c>
      <c r="B21" s="65" t="s">
        <v>418</v>
      </c>
      <c r="C21" s="55" t="s">
        <v>275</v>
      </c>
      <c r="D21" s="64"/>
      <c r="E21" s="64"/>
      <c r="F21" s="63">
        <v>23</v>
      </c>
      <c r="G21" s="63" t="s">
        <v>25</v>
      </c>
      <c r="H21" s="72">
        <v>64</v>
      </c>
      <c r="I21" s="63" t="s">
        <v>48</v>
      </c>
      <c r="J21" s="63" t="s">
        <v>95</v>
      </c>
      <c r="K21" s="63" t="s">
        <v>96</v>
      </c>
      <c r="L21" s="63" t="s">
        <v>103</v>
      </c>
      <c r="M21" s="63" t="s">
        <v>336</v>
      </c>
      <c r="N21" s="63"/>
      <c r="O21" s="63">
        <v>1</v>
      </c>
      <c r="P21" s="63">
        <v>1</v>
      </c>
      <c r="Q21" s="63">
        <v>1</v>
      </c>
      <c r="R21" s="63">
        <v>1</v>
      </c>
      <c r="S21" s="63">
        <v>1</v>
      </c>
      <c r="T21">
        <v>26</v>
      </c>
      <c r="U21" s="86">
        <v>5</v>
      </c>
      <c r="V21" s="18">
        <f>T21-U21</f>
        <v>21</v>
      </c>
      <c r="W21">
        <v>3</v>
      </c>
      <c r="X21">
        <v>12</v>
      </c>
      <c r="Y21" s="8">
        <v>1</v>
      </c>
      <c r="AA21">
        <v>1</v>
      </c>
      <c r="AB21">
        <v>1</v>
      </c>
      <c r="AC21">
        <v>1</v>
      </c>
      <c r="AD21" s="3">
        <v>0</v>
      </c>
      <c r="AE21" s="57">
        <v>1</v>
      </c>
      <c r="AF21" s="57">
        <v>1</v>
      </c>
      <c r="AG21" s="57">
        <v>1</v>
      </c>
      <c r="AH21" s="3">
        <v>0</v>
      </c>
      <c r="AI21" s="5">
        <v>0</v>
      </c>
      <c r="AJ21" s="5">
        <v>0</v>
      </c>
      <c r="AK21" s="5">
        <v>0</v>
      </c>
    </row>
    <row r="22" spans="1:37" x14ac:dyDescent="0.25">
      <c r="A22" s="5" t="s">
        <v>74</v>
      </c>
      <c r="B22" s="50" t="s">
        <v>404</v>
      </c>
      <c r="C22" s="55" t="s">
        <v>264</v>
      </c>
      <c r="E22" s="27">
        <v>14.9</v>
      </c>
      <c r="F22" s="5">
        <v>23</v>
      </c>
      <c r="G22" s="5" t="s">
        <v>25</v>
      </c>
      <c r="H22" s="9">
        <v>77</v>
      </c>
      <c r="I22" s="5" t="s">
        <v>48</v>
      </c>
      <c r="J22" s="5" t="s">
        <v>95</v>
      </c>
      <c r="K22" s="5" t="s">
        <v>139</v>
      </c>
      <c r="L22" s="5" t="s">
        <v>141</v>
      </c>
      <c r="M22" s="5" t="s">
        <v>153</v>
      </c>
      <c r="N22" s="5"/>
      <c r="O22" s="5">
        <v>1</v>
      </c>
      <c r="P22" s="5">
        <v>1</v>
      </c>
      <c r="Q22" s="5">
        <v>1</v>
      </c>
      <c r="R22" s="5">
        <v>1</v>
      </c>
      <c r="S22" s="5">
        <v>1</v>
      </c>
      <c r="T22">
        <v>3</v>
      </c>
      <c r="U22" s="86">
        <v>0</v>
      </c>
      <c r="V22" s="18">
        <f>T22-U22</f>
        <v>3</v>
      </c>
      <c r="W22">
        <v>0</v>
      </c>
      <c r="X22">
        <v>2</v>
      </c>
      <c r="Y22" s="8">
        <v>1</v>
      </c>
      <c r="AA22">
        <v>1</v>
      </c>
      <c r="AD22" s="5">
        <v>0</v>
      </c>
      <c r="AE22" s="57">
        <v>1</v>
      </c>
      <c r="AF22" s="57">
        <v>0</v>
      </c>
      <c r="AG22" s="57">
        <v>1</v>
      </c>
      <c r="AH22" s="3">
        <v>0</v>
      </c>
      <c r="AI22" s="5">
        <v>1</v>
      </c>
      <c r="AJ22" s="5">
        <v>0</v>
      </c>
      <c r="AK22" s="5">
        <v>1</v>
      </c>
    </row>
    <row r="23" spans="1:37" x14ac:dyDescent="0.25">
      <c r="A23" s="5" t="s">
        <v>66</v>
      </c>
      <c r="B23" s="50" t="s">
        <v>395</v>
      </c>
      <c r="C23" s="55" t="s">
        <v>257</v>
      </c>
      <c r="E23" s="27">
        <v>16</v>
      </c>
      <c r="F23" s="5">
        <v>23</v>
      </c>
      <c r="G23" s="5" t="s">
        <v>25</v>
      </c>
      <c r="H23" s="9">
        <v>77</v>
      </c>
      <c r="I23" s="5" t="s">
        <v>48</v>
      </c>
      <c r="J23" s="5" t="s">
        <v>95</v>
      </c>
      <c r="K23" s="5" t="s">
        <v>125</v>
      </c>
      <c r="L23" s="5" t="s">
        <v>130</v>
      </c>
      <c r="M23" s="5" t="s">
        <v>153</v>
      </c>
      <c r="N23" s="5"/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95">
        <v>20</v>
      </c>
      <c r="U23" s="98">
        <v>7</v>
      </c>
      <c r="V23" s="18">
        <f>T23-U23</f>
        <v>13</v>
      </c>
      <c r="W23" s="95">
        <v>1</v>
      </c>
      <c r="X23" s="95">
        <v>1</v>
      </c>
      <c r="Y23" s="8">
        <v>1</v>
      </c>
      <c r="AA23">
        <v>1</v>
      </c>
      <c r="AC23">
        <v>1</v>
      </c>
      <c r="AD23" s="5">
        <v>0</v>
      </c>
      <c r="AE23" s="57">
        <v>1</v>
      </c>
      <c r="AF23" s="57">
        <v>1</v>
      </c>
      <c r="AG23" s="57">
        <v>1</v>
      </c>
      <c r="AH23" s="3">
        <v>1</v>
      </c>
      <c r="AI23" s="5">
        <v>1</v>
      </c>
      <c r="AJ23" s="5">
        <v>0</v>
      </c>
      <c r="AK23" s="5">
        <v>1</v>
      </c>
    </row>
    <row r="24" spans="1:37" x14ac:dyDescent="0.25">
      <c r="A24" s="3" t="s">
        <v>65</v>
      </c>
      <c r="B24" s="27" t="s">
        <v>394</v>
      </c>
      <c r="C24" s="55" t="s">
        <v>245</v>
      </c>
      <c r="E24" s="27">
        <v>14.8</v>
      </c>
      <c r="F24" s="3">
        <v>23</v>
      </c>
      <c r="G24" s="3" t="s">
        <v>25</v>
      </c>
      <c r="H24" s="4">
        <v>5</v>
      </c>
      <c r="I24" s="3" t="s">
        <v>8</v>
      </c>
      <c r="J24" s="3" t="s">
        <v>95</v>
      </c>
      <c r="K24" s="3" t="s">
        <v>115</v>
      </c>
      <c r="L24" s="3" t="s">
        <v>116</v>
      </c>
      <c r="M24" s="3" t="s">
        <v>153</v>
      </c>
      <c r="N24" s="3"/>
      <c r="O24" s="3">
        <v>1</v>
      </c>
      <c r="P24" s="3">
        <v>1</v>
      </c>
      <c r="Q24" s="3">
        <v>1</v>
      </c>
      <c r="R24" s="3">
        <v>1</v>
      </c>
      <c r="S24" s="3">
        <v>1</v>
      </c>
      <c r="T24">
        <v>26</v>
      </c>
      <c r="U24" s="86">
        <v>4</v>
      </c>
      <c r="V24" s="18">
        <f>T24-U24</f>
        <v>22</v>
      </c>
      <c r="W24">
        <v>1</v>
      </c>
      <c r="X24">
        <v>3</v>
      </c>
      <c r="Y24" s="8">
        <v>1</v>
      </c>
      <c r="AA24">
        <v>1</v>
      </c>
      <c r="AD24" s="3">
        <v>0</v>
      </c>
      <c r="AE24" s="57">
        <v>1</v>
      </c>
      <c r="AF24" s="57">
        <v>1</v>
      </c>
      <c r="AG24" s="57">
        <v>1</v>
      </c>
      <c r="AH24" s="3">
        <v>0</v>
      </c>
      <c r="AI24" s="5">
        <v>0</v>
      </c>
      <c r="AJ24" s="5">
        <v>1</v>
      </c>
      <c r="AK24" s="5">
        <v>0</v>
      </c>
    </row>
    <row r="25" spans="1:37" x14ac:dyDescent="0.25">
      <c r="A25" s="69" t="s">
        <v>55</v>
      </c>
      <c r="B25" s="76" t="s">
        <v>468</v>
      </c>
      <c r="C25" s="67" t="s">
        <v>248</v>
      </c>
      <c r="E25" s="27">
        <v>14.1</v>
      </c>
      <c r="F25" s="3">
        <v>23</v>
      </c>
      <c r="G25" s="3"/>
      <c r="H25" s="4"/>
      <c r="I25" s="3"/>
      <c r="J25" s="3" t="s">
        <v>95</v>
      </c>
      <c r="K25" s="3" t="s">
        <v>123</v>
      </c>
      <c r="L25" s="3" t="s">
        <v>123</v>
      </c>
      <c r="M25" s="3" t="s">
        <v>174</v>
      </c>
      <c r="N25" s="5" t="s">
        <v>191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84">
        <v>0</v>
      </c>
      <c r="U25" s="76"/>
      <c r="V25" s="18">
        <f>T25-U25</f>
        <v>0</v>
      </c>
      <c r="W25" s="76"/>
      <c r="X25" s="76"/>
      <c r="Y25" s="8">
        <v>0</v>
      </c>
      <c r="AA25">
        <v>0</v>
      </c>
      <c r="AD25" s="3">
        <v>0</v>
      </c>
      <c r="AE25" s="57">
        <v>0</v>
      </c>
      <c r="AF25" s="57">
        <v>0</v>
      </c>
      <c r="AG25" s="57">
        <v>0</v>
      </c>
      <c r="AH25" s="3">
        <v>0</v>
      </c>
      <c r="AI25" s="5">
        <v>0</v>
      </c>
      <c r="AJ25" s="5">
        <v>0</v>
      </c>
      <c r="AK25" s="5">
        <v>0</v>
      </c>
    </row>
    <row r="26" spans="1:37" x14ac:dyDescent="0.25">
      <c r="A26" s="5" t="s">
        <v>33</v>
      </c>
      <c r="B26" s="50" t="s">
        <v>447</v>
      </c>
      <c r="C26" s="55" t="s">
        <v>224</v>
      </c>
      <c r="E26" s="45">
        <v>14</v>
      </c>
      <c r="F26" s="5">
        <v>23</v>
      </c>
      <c r="G26" s="5" t="s">
        <v>25</v>
      </c>
      <c r="H26" s="9">
        <v>5</v>
      </c>
      <c r="I26" s="5" t="s">
        <v>8</v>
      </c>
      <c r="J26" s="5" t="s">
        <v>95</v>
      </c>
      <c r="K26" s="5" t="s">
        <v>96</v>
      </c>
      <c r="L26" s="5" t="s">
        <v>111</v>
      </c>
      <c r="M26" s="5" t="s">
        <v>153</v>
      </c>
      <c r="N26" s="5" t="s">
        <v>165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>
        <v>17</v>
      </c>
      <c r="U26" s="86">
        <v>4</v>
      </c>
      <c r="V26" s="18">
        <f>T26-U26</f>
        <v>13</v>
      </c>
      <c r="W26">
        <v>1</v>
      </c>
      <c r="X26">
        <v>2</v>
      </c>
      <c r="Y26" s="8">
        <v>1</v>
      </c>
      <c r="AA26">
        <v>1</v>
      </c>
      <c r="AD26" s="5">
        <v>0</v>
      </c>
      <c r="AE26" s="57">
        <v>1</v>
      </c>
      <c r="AF26" s="57">
        <v>1</v>
      </c>
      <c r="AG26" s="57">
        <v>1</v>
      </c>
      <c r="AH26" s="3">
        <v>0</v>
      </c>
      <c r="AI26" s="5">
        <v>1</v>
      </c>
      <c r="AJ26" s="5">
        <v>1</v>
      </c>
      <c r="AK26" s="5">
        <v>1</v>
      </c>
    </row>
    <row r="27" spans="1:37" x14ac:dyDescent="0.25">
      <c r="A27" s="3" t="s">
        <v>32</v>
      </c>
      <c r="B27" s="27" t="s">
        <v>446</v>
      </c>
      <c r="C27" s="55" t="s">
        <v>223</v>
      </c>
      <c r="E27" s="45">
        <v>15.7</v>
      </c>
      <c r="F27" s="3">
        <v>23</v>
      </c>
      <c r="G27" s="3" t="s">
        <v>25</v>
      </c>
      <c r="H27" s="4">
        <v>5</v>
      </c>
      <c r="I27" s="3" t="s">
        <v>8</v>
      </c>
      <c r="J27" s="3" t="s">
        <v>95</v>
      </c>
      <c r="K27" s="3" t="s">
        <v>96</v>
      </c>
      <c r="L27" s="3" t="s">
        <v>111</v>
      </c>
      <c r="M27" s="3" t="s">
        <v>153</v>
      </c>
      <c r="N27" s="3" t="s">
        <v>164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>
        <v>6</v>
      </c>
      <c r="U27" s="86">
        <v>2</v>
      </c>
      <c r="V27" s="18">
        <f>T27-U27</f>
        <v>4</v>
      </c>
      <c r="W27">
        <v>1</v>
      </c>
      <c r="X27">
        <v>0</v>
      </c>
      <c r="Y27" s="8">
        <v>1</v>
      </c>
      <c r="AA27">
        <v>1</v>
      </c>
      <c r="AD27" s="3">
        <v>0</v>
      </c>
      <c r="AE27" s="57">
        <v>1</v>
      </c>
      <c r="AF27" s="57">
        <v>0</v>
      </c>
      <c r="AG27" s="57">
        <v>1</v>
      </c>
      <c r="AH27" s="3">
        <v>0</v>
      </c>
      <c r="AI27" s="5">
        <v>0</v>
      </c>
      <c r="AJ27" s="5">
        <v>0</v>
      </c>
      <c r="AK27" s="5">
        <v>0</v>
      </c>
    </row>
    <row r="28" spans="1:37" x14ac:dyDescent="0.25">
      <c r="A28" s="69" t="s">
        <v>20</v>
      </c>
      <c r="B28" s="27" t="s">
        <v>434</v>
      </c>
      <c r="C28" s="43" t="s">
        <v>211</v>
      </c>
      <c r="E28" s="45">
        <v>13</v>
      </c>
      <c r="F28" s="3">
        <v>23</v>
      </c>
      <c r="G28" s="3" t="s">
        <v>7</v>
      </c>
      <c r="H28" s="4">
        <v>5</v>
      </c>
      <c r="I28" s="3" t="s">
        <v>8</v>
      </c>
      <c r="J28" s="3" t="s">
        <v>95</v>
      </c>
      <c r="K28" s="3" t="s">
        <v>96</v>
      </c>
      <c r="L28" s="3" t="s">
        <v>103</v>
      </c>
      <c r="M28" s="3" t="s">
        <v>152</v>
      </c>
      <c r="N28" s="3"/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96">
        <v>0</v>
      </c>
      <c r="U28" s="92"/>
      <c r="V28" s="18">
        <f>T28-U28</f>
        <v>0</v>
      </c>
      <c r="W28" s="92"/>
      <c r="X28" s="92"/>
      <c r="Y28" s="8">
        <v>0</v>
      </c>
      <c r="AA28">
        <v>0</v>
      </c>
      <c r="AD28" s="3">
        <v>0</v>
      </c>
      <c r="AE28" s="57">
        <v>0</v>
      </c>
      <c r="AF28" s="57">
        <v>0</v>
      </c>
      <c r="AG28" s="57">
        <v>0</v>
      </c>
      <c r="AH28" s="3">
        <v>0</v>
      </c>
      <c r="AI28" s="5">
        <v>0</v>
      </c>
      <c r="AJ28" s="5">
        <v>0</v>
      </c>
      <c r="AK28" s="5">
        <v>0</v>
      </c>
    </row>
    <row r="29" spans="1:37" x14ac:dyDescent="0.25">
      <c r="A29" s="69" t="s">
        <v>19</v>
      </c>
      <c r="B29" s="50" t="s">
        <v>433</v>
      </c>
      <c r="C29" s="43" t="s">
        <v>210</v>
      </c>
      <c r="E29" s="27"/>
      <c r="F29" s="5">
        <v>23</v>
      </c>
      <c r="G29" s="5" t="s">
        <v>7</v>
      </c>
      <c r="H29" s="5">
        <v>5</v>
      </c>
      <c r="I29" s="5" t="s">
        <v>8</v>
      </c>
      <c r="J29" s="5" t="s">
        <v>95</v>
      </c>
      <c r="K29" s="5" t="s">
        <v>96</v>
      </c>
      <c r="L29" s="5" t="s">
        <v>100</v>
      </c>
      <c r="M29" s="5" t="s">
        <v>152</v>
      </c>
      <c r="N29" s="5"/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83">
        <v>0</v>
      </c>
      <c r="U29" s="69"/>
      <c r="V29" s="18">
        <f>T29-U29</f>
        <v>0</v>
      </c>
      <c r="W29" s="69"/>
      <c r="X29" s="69"/>
      <c r="Y29" s="8">
        <v>0</v>
      </c>
      <c r="AA29">
        <v>0</v>
      </c>
      <c r="AD29" s="5">
        <v>0</v>
      </c>
      <c r="AE29" s="57">
        <v>0</v>
      </c>
      <c r="AF29" s="57">
        <v>0</v>
      </c>
      <c r="AG29" s="57">
        <v>0</v>
      </c>
      <c r="AH29" s="3">
        <v>0</v>
      </c>
      <c r="AI29" s="5">
        <v>0</v>
      </c>
      <c r="AJ29" s="5">
        <v>0</v>
      </c>
      <c r="AK29" s="5">
        <v>0</v>
      </c>
    </row>
    <row r="30" spans="1:37" x14ac:dyDescent="0.25">
      <c r="A30" s="3" t="s">
        <v>73</v>
      </c>
      <c r="B30" s="27" t="s">
        <v>403</v>
      </c>
      <c r="C30" s="55" t="s">
        <v>263</v>
      </c>
      <c r="E30" s="27">
        <v>12.2</v>
      </c>
      <c r="F30" s="3">
        <v>22</v>
      </c>
      <c r="G30" s="3" t="s">
        <v>25</v>
      </c>
      <c r="H30" s="4">
        <v>5</v>
      </c>
      <c r="I30" s="3" t="s">
        <v>48</v>
      </c>
      <c r="J30" s="3" t="s">
        <v>95</v>
      </c>
      <c r="K30" s="3" t="s">
        <v>139</v>
      </c>
      <c r="L30" s="3" t="s">
        <v>140</v>
      </c>
      <c r="M30" s="3" t="s">
        <v>152</v>
      </c>
      <c r="N30" s="3"/>
      <c r="O30" s="3">
        <v>1</v>
      </c>
      <c r="P30" s="3">
        <v>1</v>
      </c>
      <c r="Q30" s="3">
        <v>1</v>
      </c>
      <c r="R30" s="3">
        <v>1</v>
      </c>
      <c r="S30" s="3">
        <v>1</v>
      </c>
      <c r="T30">
        <v>7</v>
      </c>
      <c r="U30" s="86">
        <v>2</v>
      </c>
      <c r="V30" s="18">
        <f>T30-U30</f>
        <v>5</v>
      </c>
      <c r="W30">
        <v>2</v>
      </c>
      <c r="X30">
        <v>4</v>
      </c>
      <c r="Y30" s="8">
        <v>1</v>
      </c>
      <c r="Z30" s="95"/>
      <c r="AA30" s="95">
        <v>1</v>
      </c>
      <c r="AB30" s="95"/>
      <c r="AC30" s="95"/>
      <c r="AD30" s="3">
        <v>0</v>
      </c>
      <c r="AE30" s="57">
        <v>1</v>
      </c>
      <c r="AF30" s="57">
        <v>0</v>
      </c>
      <c r="AG30" s="57">
        <v>1</v>
      </c>
      <c r="AH30" s="3">
        <v>1</v>
      </c>
      <c r="AI30" s="5">
        <v>1</v>
      </c>
      <c r="AJ30" s="5">
        <v>0</v>
      </c>
      <c r="AK30" s="5">
        <v>1</v>
      </c>
    </row>
    <row r="31" spans="1:37" x14ac:dyDescent="0.25">
      <c r="A31" s="3" t="s">
        <v>69</v>
      </c>
      <c r="B31" s="65" t="s">
        <v>398</v>
      </c>
      <c r="C31" s="55" t="s">
        <v>259</v>
      </c>
      <c r="E31" s="27">
        <v>12.1</v>
      </c>
      <c r="F31" s="3">
        <v>22</v>
      </c>
      <c r="G31" s="3" t="s">
        <v>25</v>
      </c>
      <c r="H31" s="4">
        <v>77</v>
      </c>
      <c r="I31" s="3" t="s">
        <v>48</v>
      </c>
      <c r="J31" s="3" t="s">
        <v>95</v>
      </c>
      <c r="K31" s="3" t="s">
        <v>131</v>
      </c>
      <c r="L31" s="3" t="s">
        <v>133</v>
      </c>
      <c r="M31" s="3" t="s">
        <v>152</v>
      </c>
      <c r="N31" s="3"/>
      <c r="O31" s="80">
        <v>1</v>
      </c>
      <c r="P31" s="15">
        <v>1</v>
      </c>
      <c r="Q31" s="15">
        <v>1</v>
      </c>
      <c r="R31" s="81">
        <v>1</v>
      </c>
      <c r="S31" s="15">
        <v>1</v>
      </c>
      <c r="T31" s="8">
        <v>42</v>
      </c>
      <c r="U31" s="89">
        <v>13</v>
      </c>
      <c r="V31" s="18">
        <f>T31-U31</f>
        <v>29</v>
      </c>
      <c r="W31" s="8">
        <v>11</v>
      </c>
      <c r="X31" s="8">
        <v>24</v>
      </c>
      <c r="Y31" s="8">
        <v>1</v>
      </c>
      <c r="AA31">
        <v>1</v>
      </c>
      <c r="AB31">
        <v>1</v>
      </c>
      <c r="AC31">
        <v>1</v>
      </c>
      <c r="AD31" s="12">
        <v>0</v>
      </c>
      <c r="AE31" s="57">
        <v>1</v>
      </c>
      <c r="AF31" s="57">
        <v>0</v>
      </c>
      <c r="AG31" s="57">
        <v>1</v>
      </c>
      <c r="AH31" s="3">
        <v>0</v>
      </c>
      <c r="AI31" s="5">
        <v>1</v>
      </c>
      <c r="AJ31" s="5">
        <v>0</v>
      </c>
      <c r="AK31" s="5">
        <v>1</v>
      </c>
    </row>
    <row r="32" spans="1:37" x14ac:dyDescent="0.25">
      <c r="A32" s="5" t="s">
        <v>54</v>
      </c>
      <c r="B32" s="50" t="s">
        <v>467</v>
      </c>
      <c r="C32" s="55" t="s">
        <v>247</v>
      </c>
      <c r="E32" s="45">
        <v>13</v>
      </c>
      <c r="F32" s="5">
        <v>22</v>
      </c>
      <c r="G32" s="5" t="s">
        <v>25</v>
      </c>
      <c r="H32" s="9">
        <v>64</v>
      </c>
      <c r="I32" s="5" t="s">
        <v>48</v>
      </c>
      <c r="J32" s="5" t="s">
        <v>95</v>
      </c>
      <c r="K32" s="5" t="s">
        <v>115</v>
      </c>
      <c r="L32" s="5" t="s">
        <v>122</v>
      </c>
      <c r="M32" s="5" t="s">
        <v>174</v>
      </c>
      <c r="N32" s="5" t="s">
        <v>191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95">
        <v>7</v>
      </c>
      <c r="U32" s="98">
        <v>4</v>
      </c>
      <c r="V32" s="18">
        <f>T32-U32</f>
        <v>3</v>
      </c>
      <c r="W32" s="95">
        <v>1</v>
      </c>
      <c r="X32" s="95">
        <v>1</v>
      </c>
      <c r="Y32" s="8">
        <v>1</v>
      </c>
      <c r="AA32">
        <v>1</v>
      </c>
      <c r="AD32" s="5">
        <v>0</v>
      </c>
      <c r="AE32" s="57">
        <v>1</v>
      </c>
      <c r="AF32" s="57">
        <v>1</v>
      </c>
      <c r="AG32" s="57">
        <v>1</v>
      </c>
      <c r="AH32" s="3">
        <v>1</v>
      </c>
      <c r="AI32" s="5">
        <v>0</v>
      </c>
      <c r="AJ32" s="5">
        <v>1</v>
      </c>
      <c r="AK32" s="5">
        <v>0</v>
      </c>
    </row>
    <row r="33" spans="1:37" x14ac:dyDescent="0.25">
      <c r="A33" s="5" t="s">
        <v>31</v>
      </c>
      <c r="B33" s="50" t="s">
        <v>445</v>
      </c>
      <c r="C33" s="55" t="s">
        <v>222</v>
      </c>
      <c r="E33" s="45">
        <v>14.7</v>
      </c>
      <c r="F33" s="5">
        <v>22</v>
      </c>
      <c r="G33" s="5" t="s">
        <v>25</v>
      </c>
      <c r="H33" s="5">
        <v>5</v>
      </c>
      <c r="I33" s="5" t="s">
        <v>8</v>
      </c>
      <c r="J33" s="5" t="s">
        <v>95</v>
      </c>
      <c r="K33" s="5" t="s">
        <v>96</v>
      </c>
      <c r="L33" s="5" t="s">
        <v>103</v>
      </c>
      <c r="M33" s="5" t="s">
        <v>152</v>
      </c>
      <c r="N33" s="5" t="s">
        <v>163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>
        <v>14</v>
      </c>
      <c r="U33" s="86">
        <v>2</v>
      </c>
      <c r="V33" s="18">
        <f>T33-U33</f>
        <v>12</v>
      </c>
      <c r="W33">
        <v>1</v>
      </c>
      <c r="X33">
        <v>7</v>
      </c>
      <c r="Y33" s="8">
        <v>1</v>
      </c>
      <c r="AA33">
        <v>1</v>
      </c>
      <c r="AD33" s="5">
        <v>0</v>
      </c>
      <c r="AE33" s="57">
        <v>1</v>
      </c>
      <c r="AF33" s="57">
        <v>1</v>
      </c>
      <c r="AG33" s="57">
        <v>1</v>
      </c>
      <c r="AH33" s="3">
        <v>1</v>
      </c>
      <c r="AI33" s="5">
        <v>1</v>
      </c>
      <c r="AJ33" s="5">
        <v>1</v>
      </c>
      <c r="AK33" s="5">
        <v>1</v>
      </c>
    </row>
    <row r="34" spans="1:37" x14ac:dyDescent="0.25">
      <c r="A34" s="3" t="s">
        <v>28</v>
      </c>
      <c r="B34" s="27" t="s">
        <v>442</v>
      </c>
      <c r="C34" s="55" t="s">
        <v>219</v>
      </c>
      <c r="E34" s="45">
        <v>13</v>
      </c>
      <c r="F34" s="3">
        <v>22</v>
      </c>
      <c r="G34" s="3" t="s">
        <v>25</v>
      </c>
      <c r="H34" s="4">
        <v>5</v>
      </c>
      <c r="I34" s="3" t="s">
        <v>8</v>
      </c>
      <c r="J34" s="3" t="s">
        <v>95</v>
      </c>
      <c r="K34" s="3" t="s">
        <v>96</v>
      </c>
      <c r="L34" s="3" t="s">
        <v>103</v>
      </c>
      <c r="M34" s="3" t="s">
        <v>152</v>
      </c>
      <c r="N34" s="3" t="s">
        <v>160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>
        <v>34</v>
      </c>
      <c r="U34" s="86">
        <v>20</v>
      </c>
      <c r="V34" s="18">
        <f>T34-U34</f>
        <v>14</v>
      </c>
      <c r="W34">
        <v>2</v>
      </c>
      <c r="X34">
        <v>7</v>
      </c>
      <c r="Y34" s="8">
        <v>1</v>
      </c>
      <c r="AA34">
        <v>1</v>
      </c>
      <c r="AB34">
        <v>1</v>
      </c>
      <c r="AC34">
        <v>1</v>
      </c>
      <c r="AD34" s="3">
        <v>0</v>
      </c>
      <c r="AE34" s="57">
        <v>1</v>
      </c>
      <c r="AF34" s="57">
        <v>1</v>
      </c>
      <c r="AG34" s="57">
        <v>1</v>
      </c>
      <c r="AH34" s="3">
        <v>1</v>
      </c>
      <c r="AI34" s="5">
        <v>1</v>
      </c>
      <c r="AJ34" s="5">
        <v>1</v>
      </c>
      <c r="AK34" s="5">
        <v>1</v>
      </c>
    </row>
    <row r="35" spans="1:37" x14ac:dyDescent="0.25">
      <c r="A35" s="5" t="s">
        <v>23</v>
      </c>
      <c r="B35" s="50" t="s">
        <v>437</v>
      </c>
      <c r="C35" s="55" t="s">
        <v>214</v>
      </c>
      <c r="E35" s="45">
        <v>13</v>
      </c>
      <c r="F35" s="5">
        <v>22</v>
      </c>
      <c r="G35" s="5" t="s">
        <v>7</v>
      </c>
      <c r="H35" s="5">
        <v>5</v>
      </c>
      <c r="I35" s="5" t="s">
        <v>8</v>
      </c>
      <c r="J35" s="5" t="s">
        <v>95</v>
      </c>
      <c r="K35" s="5" t="s">
        <v>96</v>
      </c>
      <c r="L35" s="5" t="s">
        <v>106</v>
      </c>
      <c r="M35" s="5" t="s">
        <v>153</v>
      </c>
      <c r="N35" s="5"/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95">
        <v>11</v>
      </c>
      <c r="U35" s="98">
        <v>7</v>
      </c>
      <c r="V35" s="18">
        <f>T35-U35</f>
        <v>4</v>
      </c>
      <c r="W35" s="95">
        <v>0</v>
      </c>
      <c r="X35" s="95">
        <v>1</v>
      </c>
      <c r="Y35" s="8">
        <v>1</v>
      </c>
      <c r="Z35" s="46"/>
      <c r="AA35" s="46">
        <v>0</v>
      </c>
      <c r="AB35" s="46"/>
      <c r="AC35" s="46">
        <v>1</v>
      </c>
      <c r="AD35" s="5">
        <v>0</v>
      </c>
      <c r="AE35" s="57">
        <v>1</v>
      </c>
      <c r="AF35" s="57">
        <v>0</v>
      </c>
      <c r="AG35" s="57">
        <v>1</v>
      </c>
      <c r="AH35" s="3">
        <v>1</v>
      </c>
      <c r="AI35" s="5">
        <v>1</v>
      </c>
      <c r="AJ35" s="5">
        <v>1</v>
      </c>
      <c r="AK35" s="5">
        <v>1</v>
      </c>
    </row>
    <row r="36" spans="1:37" x14ac:dyDescent="0.25">
      <c r="A36" s="69" t="s">
        <v>18</v>
      </c>
      <c r="B36" s="76" t="s">
        <v>432</v>
      </c>
      <c r="C36" s="67" t="s">
        <v>209</v>
      </c>
      <c r="E36" s="27"/>
      <c r="F36" s="3">
        <v>22</v>
      </c>
      <c r="G36" s="3" t="s">
        <v>7</v>
      </c>
      <c r="H36" s="4">
        <v>5</v>
      </c>
      <c r="I36" s="3" t="s">
        <v>8</v>
      </c>
      <c r="J36" s="3" t="s">
        <v>95</v>
      </c>
      <c r="K36" s="3" t="s">
        <v>96</v>
      </c>
      <c r="L36" s="3" t="s">
        <v>103</v>
      </c>
      <c r="M36" s="3" t="s">
        <v>153</v>
      </c>
      <c r="N36" s="3"/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84">
        <v>0</v>
      </c>
      <c r="U36" s="76"/>
      <c r="V36" s="18">
        <f>T36-U36</f>
        <v>0</v>
      </c>
      <c r="W36" s="76"/>
      <c r="X36" s="76"/>
      <c r="Y36" s="8">
        <v>0</v>
      </c>
      <c r="AA36">
        <v>0</v>
      </c>
      <c r="AC36" s="90"/>
      <c r="AD36" s="15">
        <v>0</v>
      </c>
      <c r="AE36" s="57">
        <v>0</v>
      </c>
      <c r="AF36" s="57">
        <v>0</v>
      </c>
      <c r="AG36" s="57">
        <v>0</v>
      </c>
      <c r="AH36" s="3">
        <v>0</v>
      </c>
      <c r="AI36" s="5">
        <v>0</v>
      </c>
      <c r="AJ36" s="5">
        <v>0</v>
      </c>
      <c r="AK36" s="5">
        <v>0</v>
      </c>
    </row>
    <row r="37" spans="1:37" x14ac:dyDescent="0.25">
      <c r="A37" s="69" t="s">
        <v>15</v>
      </c>
      <c r="B37" s="76" t="s">
        <v>429</v>
      </c>
      <c r="C37" s="67" t="s">
        <v>206</v>
      </c>
      <c r="E37" s="45">
        <v>11</v>
      </c>
      <c r="F37" s="5">
        <v>22</v>
      </c>
      <c r="G37" s="5" t="s">
        <v>7</v>
      </c>
      <c r="H37" s="5"/>
      <c r="I37" s="5" t="s">
        <v>8</v>
      </c>
      <c r="J37" s="5" t="s">
        <v>95</v>
      </c>
      <c r="K37" s="5" t="s">
        <v>96</v>
      </c>
      <c r="L37" s="5" t="s">
        <v>100</v>
      </c>
      <c r="M37" s="5" t="s">
        <v>156</v>
      </c>
      <c r="N37" s="5" t="s">
        <v>157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83">
        <v>0</v>
      </c>
      <c r="U37" s="69"/>
      <c r="V37" s="18">
        <f>T37-U37</f>
        <v>0</v>
      </c>
      <c r="W37" s="69"/>
      <c r="X37" s="69"/>
      <c r="Y37" s="8">
        <v>0</v>
      </c>
      <c r="AA37">
        <v>0</v>
      </c>
      <c r="AD37" s="11">
        <v>0</v>
      </c>
      <c r="AE37" s="57">
        <v>0</v>
      </c>
      <c r="AF37" s="57">
        <v>0</v>
      </c>
      <c r="AG37" s="57">
        <v>0</v>
      </c>
      <c r="AH37" s="3">
        <v>0</v>
      </c>
      <c r="AI37" s="5">
        <v>0</v>
      </c>
      <c r="AJ37" s="5">
        <v>0</v>
      </c>
      <c r="AK37" s="5">
        <v>0</v>
      </c>
    </row>
    <row r="38" spans="1:37" x14ac:dyDescent="0.25">
      <c r="A38" s="62" t="s">
        <v>367</v>
      </c>
      <c r="B38" t="s">
        <v>423</v>
      </c>
      <c r="C38" s="67" t="s">
        <v>374</v>
      </c>
      <c r="E38" s="27">
        <v>8.9</v>
      </c>
      <c r="F38" s="3">
        <v>21</v>
      </c>
      <c r="G38" s="3" t="s">
        <v>25</v>
      </c>
      <c r="H38" s="4">
        <v>5</v>
      </c>
      <c r="I38" s="3" t="s">
        <v>48</v>
      </c>
      <c r="J38" s="3" t="s">
        <v>95</v>
      </c>
      <c r="K38" s="3" t="s">
        <v>96</v>
      </c>
      <c r="L38" s="3" t="s">
        <v>103</v>
      </c>
      <c r="M38" s="3" t="s">
        <v>153</v>
      </c>
      <c r="N38" s="8"/>
      <c r="O38" s="18">
        <v>1</v>
      </c>
      <c r="P38" s="3">
        <v>1</v>
      </c>
      <c r="Q38" s="3">
        <v>1</v>
      </c>
      <c r="R38" s="62">
        <v>1</v>
      </c>
      <c r="S38" s="62">
        <v>1</v>
      </c>
      <c r="T38">
        <v>6</v>
      </c>
      <c r="U38" s="86">
        <v>2</v>
      </c>
      <c r="V38" s="18">
        <f>T38-U38</f>
        <v>4</v>
      </c>
      <c r="W38">
        <v>0</v>
      </c>
      <c r="X38">
        <v>2</v>
      </c>
      <c r="Y38" s="8">
        <v>1</v>
      </c>
      <c r="AA38">
        <v>0</v>
      </c>
      <c r="AD38" s="8"/>
      <c r="AE38" s="58">
        <v>1</v>
      </c>
      <c r="AF38" s="58">
        <v>1</v>
      </c>
      <c r="AG38" s="57">
        <v>1</v>
      </c>
      <c r="AH38" s="8"/>
      <c r="AI38" s="8"/>
      <c r="AJ38" s="8"/>
      <c r="AK38" s="8"/>
    </row>
    <row r="39" spans="1:37" x14ac:dyDescent="0.25">
      <c r="A39" s="5" t="s">
        <v>84</v>
      </c>
      <c r="B39" s="50" t="s">
        <v>417</v>
      </c>
      <c r="C39" s="55" t="s">
        <v>274</v>
      </c>
      <c r="E39" s="27">
        <v>12</v>
      </c>
      <c r="F39" s="5">
        <v>21</v>
      </c>
      <c r="G39" s="5" t="s">
        <v>25</v>
      </c>
      <c r="H39" s="5">
        <v>5</v>
      </c>
      <c r="I39" s="5" t="s">
        <v>48</v>
      </c>
      <c r="J39" s="5" t="s">
        <v>95</v>
      </c>
      <c r="K39" s="5" t="s">
        <v>139</v>
      </c>
      <c r="L39" s="5" t="s">
        <v>149</v>
      </c>
      <c r="M39" s="5" t="s">
        <v>153</v>
      </c>
      <c r="N39" s="5"/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95">
        <v>7</v>
      </c>
      <c r="U39" s="98">
        <v>4</v>
      </c>
      <c r="V39" s="18">
        <f>T39-U39</f>
        <v>3</v>
      </c>
      <c r="W39" s="95">
        <v>4</v>
      </c>
      <c r="X39" s="95">
        <v>3</v>
      </c>
      <c r="Y39" s="8">
        <v>1</v>
      </c>
      <c r="Z39" s="95"/>
      <c r="AA39">
        <v>1</v>
      </c>
      <c r="AB39">
        <v>1</v>
      </c>
      <c r="AD39" s="5">
        <v>0</v>
      </c>
      <c r="AE39" s="57">
        <v>1</v>
      </c>
      <c r="AF39" s="58">
        <v>1</v>
      </c>
      <c r="AG39" s="57">
        <v>1</v>
      </c>
      <c r="AH39" s="3">
        <v>0</v>
      </c>
      <c r="AI39" s="5">
        <v>1</v>
      </c>
      <c r="AJ39" s="5">
        <v>0</v>
      </c>
      <c r="AK39" s="5">
        <v>1</v>
      </c>
    </row>
    <row r="40" spans="1:37" x14ac:dyDescent="0.25">
      <c r="A40" s="18" t="s">
        <v>82</v>
      </c>
      <c r="B40" s="78" t="s">
        <v>414</v>
      </c>
      <c r="C40" s="55" t="s">
        <v>272</v>
      </c>
      <c r="E40" s="27">
        <v>12</v>
      </c>
      <c r="F40" s="5">
        <v>21</v>
      </c>
      <c r="G40" s="5" t="s">
        <v>25</v>
      </c>
      <c r="H40" s="9">
        <v>64</v>
      </c>
      <c r="I40" s="5" t="s">
        <v>48</v>
      </c>
      <c r="J40" s="5" t="s">
        <v>95</v>
      </c>
      <c r="K40" s="5" t="s">
        <v>139</v>
      </c>
      <c r="L40" s="5" t="s">
        <v>141</v>
      </c>
      <c r="M40" s="5" t="s">
        <v>153</v>
      </c>
      <c r="N40" s="5"/>
      <c r="O40" s="5">
        <v>1</v>
      </c>
      <c r="P40" s="5">
        <v>1</v>
      </c>
      <c r="Q40" s="5">
        <v>1</v>
      </c>
      <c r="R40" s="5">
        <v>1</v>
      </c>
      <c r="S40" s="77">
        <v>1</v>
      </c>
      <c r="T40">
        <v>16</v>
      </c>
      <c r="U40" s="86">
        <v>7</v>
      </c>
      <c r="V40" s="18">
        <f>T40-U40</f>
        <v>9</v>
      </c>
      <c r="W40">
        <v>4</v>
      </c>
      <c r="X40">
        <v>6</v>
      </c>
      <c r="Y40" s="8">
        <v>1</v>
      </c>
      <c r="AA40">
        <v>1</v>
      </c>
      <c r="AB40">
        <v>1</v>
      </c>
      <c r="AC40">
        <v>1</v>
      </c>
      <c r="AD40" s="5">
        <v>0</v>
      </c>
      <c r="AE40" s="57">
        <v>0</v>
      </c>
      <c r="AF40" s="57">
        <v>0</v>
      </c>
      <c r="AG40" s="57">
        <v>0</v>
      </c>
      <c r="AH40" s="3">
        <v>0</v>
      </c>
      <c r="AI40" s="5">
        <v>1</v>
      </c>
      <c r="AJ40" s="5">
        <v>0</v>
      </c>
      <c r="AK40" s="5">
        <v>0</v>
      </c>
    </row>
    <row r="41" spans="1:37" x14ac:dyDescent="0.25">
      <c r="A41" s="5" t="s">
        <v>72</v>
      </c>
      <c r="B41" s="50" t="s">
        <v>402</v>
      </c>
      <c r="C41" s="55" t="s">
        <v>262</v>
      </c>
      <c r="E41" s="47">
        <v>11.9</v>
      </c>
      <c r="F41" s="5">
        <v>21</v>
      </c>
      <c r="G41" s="5" t="s">
        <v>25</v>
      </c>
      <c r="H41" s="5">
        <v>77</v>
      </c>
      <c r="I41" s="5" t="s">
        <v>48</v>
      </c>
      <c r="J41" s="5" t="s">
        <v>95</v>
      </c>
      <c r="K41" s="5" t="s">
        <v>137</v>
      </c>
      <c r="L41" s="5" t="s">
        <v>138</v>
      </c>
      <c r="M41" s="5" t="s">
        <v>153</v>
      </c>
      <c r="N41" s="5"/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8">
        <v>5</v>
      </c>
      <c r="U41" s="89">
        <v>3</v>
      </c>
      <c r="V41" s="18">
        <f>T41-U41</f>
        <v>2</v>
      </c>
      <c r="W41" s="8">
        <v>1</v>
      </c>
      <c r="X41" s="8">
        <v>1</v>
      </c>
      <c r="Y41" s="8">
        <v>1</v>
      </c>
      <c r="AA41">
        <v>1</v>
      </c>
      <c r="AD41" s="5">
        <v>0</v>
      </c>
      <c r="AE41" s="57">
        <v>1</v>
      </c>
      <c r="AF41" s="57">
        <v>0</v>
      </c>
      <c r="AG41" s="57">
        <v>1</v>
      </c>
      <c r="AH41" s="3">
        <v>0</v>
      </c>
      <c r="AI41" s="5">
        <v>1</v>
      </c>
      <c r="AJ41" s="5">
        <v>0</v>
      </c>
      <c r="AK41" s="5">
        <v>1</v>
      </c>
    </row>
    <row r="42" spans="1:37" x14ac:dyDescent="0.25">
      <c r="A42" s="63" t="s">
        <v>68</v>
      </c>
      <c r="B42" s="65" t="s">
        <v>397</v>
      </c>
      <c r="C42" s="55" t="s">
        <v>258</v>
      </c>
      <c r="D42" s="64"/>
      <c r="E42" s="65">
        <v>11.7</v>
      </c>
      <c r="F42" s="63">
        <v>21</v>
      </c>
      <c r="G42" s="63" t="s">
        <v>25</v>
      </c>
      <c r="H42" s="63">
        <v>5</v>
      </c>
      <c r="I42" s="63" t="s">
        <v>48</v>
      </c>
      <c r="J42" s="63" t="s">
        <v>95</v>
      </c>
      <c r="K42" s="63" t="s">
        <v>131</v>
      </c>
      <c r="L42" s="63" t="s">
        <v>132</v>
      </c>
      <c r="M42" s="63" t="s">
        <v>153</v>
      </c>
      <c r="N42" s="63"/>
      <c r="O42" s="70">
        <v>1</v>
      </c>
      <c r="P42" s="63">
        <v>1</v>
      </c>
      <c r="Q42" s="63">
        <v>1</v>
      </c>
      <c r="R42" s="71">
        <v>1</v>
      </c>
      <c r="S42" s="63">
        <v>1</v>
      </c>
      <c r="T42">
        <v>15</v>
      </c>
      <c r="U42" s="86">
        <v>1</v>
      </c>
      <c r="V42" s="18">
        <f>T42-U42</f>
        <v>14</v>
      </c>
      <c r="W42">
        <v>1</v>
      </c>
      <c r="X42">
        <v>10</v>
      </c>
      <c r="Y42" s="66">
        <v>1</v>
      </c>
      <c r="Z42" s="64"/>
      <c r="AA42" s="64">
        <v>0</v>
      </c>
      <c r="AB42" s="64"/>
      <c r="AC42" s="64"/>
      <c r="AD42" s="63">
        <v>0</v>
      </c>
      <c r="AE42" s="63">
        <v>1</v>
      </c>
      <c r="AF42" s="63">
        <v>1</v>
      </c>
      <c r="AG42" s="57">
        <v>1</v>
      </c>
      <c r="AH42" s="63">
        <v>0</v>
      </c>
      <c r="AI42" s="63">
        <v>1</v>
      </c>
      <c r="AJ42" s="63">
        <v>0</v>
      </c>
      <c r="AK42" s="63">
        <v>1</v>
      </c>
    </row>
    <row r="43" spans="1:37" x14ac:dyDescent="0.25">
      <c r="A43" s="69" t="s">
        <v>64</v>
      </c>
      <c r="B43" s="76" t="s">
        <v>393</v>
      </c>
      <c r="C43" s="67" t="s">
        <v>256</v>
      </c>
      <c r="E43" s="27">
        <v>12.8</v>
      </c>
      <c r="F43" s="5">
        <v>21</v>
      </c>
      <c r="G43" s="5" t="s">
        <v>25</v>
      </c>
      <c r="H43" s="5">
        <v>77</v>
      </c>
      <c r="I43" s="5" t="s">
        <v>48</v>
      </c>
      <c r="J43" s="5" t="s">
        <v>95</v>
      </c>
      <c r="K43" s="5" t="s">
        <v>125</v>
      </c>
      <c r="L43" s="5" t="s">
        <v>129</v>
      </c>
      <c r="M43" s="5" t="s">
        <v>152</v>
      </c>
      <c r="N43" s="5"/>
      <c r="O43" s="5">
        <v>1</v>
      </c>
      <c r="P43" s="69">
        <v>0</v>
      </c>
      <c r="Q43" s="5">
        <v>0</v>
      </c>
      <c r="R43" s="5">
        <v>0</v>
      </c>
      <c r="S43" s="16">
        <v>0</v>
      </c>
      <c r="T43" s="97">
        <v>0</v>
      </c>
      <c r="U43" s="92"/>
      <c r="V43" s="69">
        <f>T43-U43</f>
        <v>0</v>
      </c>
      <c r="W43" s="92">
        <v>0</v>
      </c>
      <c r="X43" s="92"/>
      <c r="Y43" s="8">
        <v>0</v>
      </c>
      <c r="Z43" s="95"/>
      <c r="AA43">
        <v>0</v>
      </c>
      <c r="AC43" s="95"/>
      <c r="AD43" s="11">
        <v>0</v>
      </c>
      <c r="AE43" s="57">
        <v>0</v>
      </c>
      <c r="AF43" s="57">
        <v>0</v>
      </c>
      <c r="AG43" s="57">
        <v>0</v>
      </c>
      <c r="AH43" s="3">
        <v>0</v>
      </c>
      <c r="AI43" s="5">
        <v>1</v>
      </c>
      <c r="AJ43" s="5">
        <v>0</v>
      </c>
      <c r="AK43" s="5">
        <v>1</v>
      </c>
    </row>
    <row r="44" spans="1:37" x14ac:dyDescent="0.25">
      <c r="A44" s="3" t="s">
        <v>53</v>
      </c>
      <c r="B44" s="27" t="s">
        <v>466</v>
      </c>
      <c r="C44" s="55" t="s">
        <v>243</v>
      </c>
      <c r="E44" s="27">
        <v>11.8</v>
      </c>
      <c r="F44" s="3">
        <v>21</v>
      </c>
      <c r="G44" s="3" t="s">
        <v>25</v>
      </c>
      <c r="H44" s="4">
        <v>5</v>
      </c>
      <c r="I44" s="3" t="s">
        <v>8</v>
      </c>
      <c r="J44" s="3" t="s">
        <v>95</v>
      </c>
      <c r="K44" s="3" t="s">
        <v>96</v>
      </c>
      <c r="L44" s="3" t="s">
        <v>103</v>
      </c>
      <c r="M44" s="3" t="s">
        <v>174</v>
      </c>
      <c r="N44" s="5" t="s">
        <v>190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>
        <v>30</v>
      </c>
      <c r="U44" s="86">
        <v>13</v>
      </c>
      <c r="V44" s="18">
        <f>T44-U44</f>
        <v>17</v>
      </c>
      <c r="W44">
        <v>3</v>
      </c>
      <c r="X44">
        <v>4</v>
      </c>
      <c r="Y44" s="8">
        <v>1</v>
      </c>
      <c r="AA44">
        <v>1</v>
      </c>
      <c r="AB44">
        <v>1</v>
      </c>
      <c r="AC44">
        <v>1</v>
      </c>
      <c r="AD44" s="3">
        <v>0</v>
      </c>
      <c r="AE44" s="57">
        <v>1</v>
      </c>
      <c r="AF44" s="57">
        <v>1</v>
      </c>
      <c r="AG44" s="57">
        <v>1</v>
      </c>
      <c r="AH44" s="3">
        <v>1</v>
      </c>
      <c r="AI44" s="5">
        <v>1</v>
      </c>
      <c r="AJ44" s="5">
        <v>1</v>
      </c>
      <c r="AK44" s="5">
        <v>1</v>
      </c>
    </row>
    <row r="45" spans="1:37" x14ac:dyDescent="0.25">
      <c r="A45" s="5" t="s">
        <v>43</v>
      </c>
      <c r="B45" s="50" t="s">
        <v>457</v>
      </c>
      <c r="C45" s="55" t="s">
        <v>234</v>
      </c>
      <c r="E45" s="27"/>
      <c r="F45" s="5">
        <v>21</v>
      </c>
      <c r="G45" s="5" t="s">
        <v>25</v>
      </c>
      <c r="H45" s="5">
        <v>5</v>
      </c>
      <c r="I45" s="5" t="s">
        <v>8</v>
      </c>
      <c r="J45" s="5" t="s">
        <v>95</v>
      </c>
      <c r="K45" s="5" t="s">
        <v>113</v>
      </c>
      <c r="L45" s="5" t="s">
        <v>119</v>
      </c>
      <c r="M45" s="5" t="s">
        <v>152</v>
      </c>
      <c r="N45" s="5" t="s">
        <v>171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95">
        <v>32</v>
      </c>
      <c r="U45" s="98">
        <v>19</v>
      </c>
      <c r="V45" s="18">
        <f>T45-U45</f>
        <v>13</v>
      </c>
      <c r="W45" s="95">
        <v>8</v>
      </c>
      <c r="X45" s="95">
        <v>11</v>
      </c>
      <c r="Y45" s="8">
        <v>1</v>
      </c>
      <c r="Z45" s="95"/>
      <c r="AA45" s="95">
        <v>1</v>
      </c>
      <c r="AB45" s="95">
        <v>1</v>
      </c>
      <c r="AC45" s="95">
        <v>1</v>
      </c>
      <c r="AD45" s="5">
        <v>0</v>
      </c>
      <c r="AE45" s="57">
        <v>1</v>
      </c>
      <c r="AF45" s="57">
        <v>1</v>
      </c>
      <c r="AG45" s="57">
        <v>1</v>
      </c>
      <c r="AH45" s="3">
        <v>1</v>
      </c>
      <c r="AI45" s="5">
        <v>0</v>
      </c>
      <c r="AJ45" s="5">
        <v>0</v>
      </c>
      <c r="AK45" s="5">
        <v>0</v>
      </c>
    </row>
    <row r="46" spans="1:37" x14ac:dyDescent="0.25">
      <c r="A46" s="3" t="s">
        <v>42</v>
      </c>
      <c r="B46" s="27" t="s">
        <v>456</v>
      </c>
      <c r="C46" s="55" t="s">
        <v>233</v>
      </c>
      <c r="E46" s="27"/>
      <c r="F46" s="3">
        <v>21</v>
      </c>
      <c r="G46" s="3" t="s">
        <v>25</v>
      </c>
      <c r="H46" s="4">
        <v>5</v>
      </c>
      <c r="I46" s="3" t="s">
        <v>8</v>
      </c>
      <c r="J46" s="3" t="s">
        <v>95</v>
      </c>
      <c r="K46" s="3" t="s">
        <v>117</v>
      </c>
      <c r="L46" s="3" t="s">
        <v>118</v>
      </c>
      <c r="M46" s="3" t="s">
        <v>152</v>
      </c>
      <c r="N46" s="3"/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8">
        <v>28</v>
      </c>
      <c r="U46" s="89">
        <v>20</v>
      </c>
      <c r="V46" s="18">
        <f>T46-U46</f>
        <v>8</v>
      </c>
      <c r="W46" s="8">
        <v>12</v>
      </c>
      <c r="X46" s="8">
        <v>4</v>
      </c>
      <c r="Y46" s="8">
        <v>1</v>
      </c>
      <c r="AA46">
        <v>1</v>
      </c>
      <c r="AB46">
        <v>1</v>
      </c>
      <c r="AC46" s="43">
        <v>1</v>
      </c>
      <c r="AD46" s="3">
        <v>0</v>
      </c>
      <c r="AE46" s="57">
        <v>1</v>
      </c>
      <c r="AF46" s="57">
        <v>1</v>
      </c>
      <c r="AG46" s="57">
        <v>1</v>
      </c>
      <c r="AH46" s="3">
        <v>1</v>
      </c>
      <c r="AI46" s="5">
        <v>0</v>
      </c>
      <c r="AJ46" s="5">
        <v>1</v>
      </c>
      <c r="AK46" s="5">
        <v>0</v>
      </c>
    </row>
    <row r="47" spans="1:37" x14ac:dyDescent="0.25">
      <c r="A47" s="5" t="s">
        <v>355</v>
      </c>
      <c r="B47" s="50" t="s">
        <v>439</v>
      </c>
      <c r="C47" s="55" t="s">
        <v>216</v>
      </c>
      <c r="E47" s="45">
        <v>12</v>
      </c>
      <c r="F47" s="5">
        <v>21</v>
      </c>
      <c r="G47" s="5" t="s">
        <v>25</v>
      </c>
      <c r="H47" s="9">
        <v>5</v>
      </c>
      <c r="I47" s="5" t="s">
        <v>8</v>
      </c>
      <c r="J47" s="5" t="s">
        <v>95</v>
      </c>
      <c r="K47" s="5" t="s">
        <v>108</v>
      </c>
      <c r="L47" s="5" t="s">
        <v>109</v>
      </c>
      <c r="M47" s="5" t="s">
        <v>152</v>
      </c>
      <c r="N47" s="5"/>
      <c r="O47" s="5">
        <v>1</v>
      </c>
      <c r="P47" s="5">
        <v>1</v>
      </c>
      <c r="Q47" s="5">
        <v>1</v>
      </c>
      <c r="R47" s="5">
        <v>1</v>
      </c>
      <c r="S47" s="5">
        <v>1</v>
      </c>
      <c r="T47">
        <v>30</v>
      </c>
      <c r="U47" s="86">
        <v>9</v>
      </c>
      <c r="V47" s="18">
        <f>T47-U47</f>
        <v>21</v>
      </c>
      <c r="W47">
        <v>6</v>
      </c>
      <c r="X47">
        <v>16</v>
      </c>
      <c r="Y47" s="8">
        <v>1</v>
      </c>
      <c r="AA47">
        <v>1</v>
      </c>
      <c r="AB47">
        <v>1</v>
      </c>
      <c r="AC47">
        <v>1</v>
      </c>
      <c r="AD47" s="5">
        <v>0</v>
      </c>
      <c r="AE47" s="57">
        <v>1</v>
      </c>
      <c r="AF47" s="57">
        <v>1</v>
      </c>
      <c r="AG47" s="57">
        <v>1</v>
      </c>
      <c r="AH47" s="3">
        <v>1</v>
      </c>
      <c r="AI47" s="5">
        <v>0</v>
      </c>
      <c r="AJ47" s="5">
        <v>1</v>
      </c>
      <c r="AK47" s="5">
        <v>0</v>
      </c>
    </row>
    <row r="48" spans="1:37" x14ac:dyDescent="0.25">
      <c r="A48" s="3" t="s">
        <v>22</v>
      </c>
      <c r="B48" s="27" t="s">
        <v>436</v>
      </c>
      <c r="C48" s="55" t="s">
        <v>213</v>
      </c>
      <c r="E48" s="45">
        <v>12</v>
      </c>
      <c r="F48" s="3">
        <v>21</v>
      </c>
      <c r="G48" s="3" t="s">
        <v>7</v>
      </c>
      <c r="H48" s="4">
        <v>5</v>
      </c>
      <c r="I48" s="3" t="s">
        <v>8</v>
      </c>
      <c r="J48" s="3" t="s">
        <v>95</v>
      </c>
      <c r="K48" s="3" t="s">
        <v>96</v>
      </c>
      <c r="L48" s="3" t="s">
        <v>103</v>
      </c>
      <c r="M48" s="3" t="s">
        <v>152</v>
      </c>
      <c r="N48" s="3"/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8">
        <v>13</v>
      </c>
      <c r="U48" s="89">
        <v>6</v>
      </c>
      <c r="V48" s="18">
        <f>T48-U48</f>
        <v>7</v>
      </c>
      <c r="W48" s="8">
        <v>0</v>
      </c>
      <c r="X48" s="8">
        <v>1</v>
      </c>
      <c r="Y48" s="8">
        <v>1</v>
      </c>
      <c r="AA48">
        <v>0</v>
      </c>
      <c r="AC48">
        <v>1</v>
      </c>
      <c r="AD48" s="3">
        <v>0</v>
      </c>
      <c r="AE48" s="57">
        <v>1</v>
      </c>
      <c r="AF48" s="57">
        <v>0</v>
      </c>
      <c r="AG48" s="57">
        <v>1</v>
      </c>
      <c r="AH48" s="3">
        <v>0</v>
      </c>
      <c r="AI48" s="5">
        <v>0</v>
      </c>
      <c r="AJ48" s="5">
        <v>0</v>
      </c>
      <c r="AK48" s="5">
        <v>0</v>
      </c>
    </row>
    <row r="49" spans="1:37" x14ac:dyDescent="0.25">
      <c r="A49" s="3" t="s">
        <v>12</v>
      </c>
      <c r="B49" s="27" t="s">
        <v>412</v>
      </c>
      <c r="C49" s="55" t="s">
        <v>203</v>
      </c>
      <c r="E49" s="27">
        <v>11.7</v>
      </c>
      <c r="F49" s="3">
        <v>21</v>
      </c>
      <c r="G49" s="3" t="s">
        <v>7</v>
      </c>
      <c r="H49" s="4">
        <v>64</v>
      </c>
      <c r="I49" s="3" t="s">
        <v>8</v>
      </c>
      <c r="J49" s="3" t="s">
        <v>95</v>
      </c>
      <c r="K49" s="3" t="s">
        <v>96</v>
      </c>
      <c r="L49" s="3" t="s">
        <v>194</v>
      </c>
      <c r="M49" s="3" t="s">
        <v>153</v>
      </c>
      <c r="N49" s="3"/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8">
        <v>21</v>
      </c>
      <c r="U49" s="89">
        <v>5</v>
      </c>
      <c r="V49" s="18">
        <f>T49-U49</f>
        <v>16</v>
      </c>
      <c r="W49" s="8">
        <v>0</v>
      </c>
      <c r="X49" s="8">
        <v>4</v>
      </c>
      <c r="Y49" s="8">
        <v>1</v>
      </c>
      <c r="Z49" s="95"/>
      <c r="AA49" s="95">
        <v>0</v>
      </c>
      <c r="AB49" s="95"/>
      <c r="AC49" s="95">
        <v>1</v>
      </c>
      <c r="AD49" s="3">
        <v>0</v>
      </c>
      <c r="AE49" s="57">
        <v>1</v>
      </c>
      <c r="AF49" s="57">
        <v>1</v>
      </c>
      <c r="AG49" s="57">
        <v>1</v>
      </c>
      <c r="AH49" s="3">
        <v>1</v>
      </c>
      <c r="AI49" s="5">
        <v>1</v>
      </c>
      <c r="AJ49" s="5">
        <v>1</v>
      </c>
      <c r="AK49" s="5">
        <v>1</v>
      </c>
    </row>
    <row r="50" spans="1:37" x14ac:dyDescent="0.25">
      <c r="A50" s="69" t="s">
        <v>83</v>
      </c>
      <c r="B50" s="76" t="s">
        <v>416</v>
      </c>
      <c r="C50" s="67" t="s">
        <v>273</v>
      </c>
      <c r="E50" s="45">
        <v>11</v>
      </c>
      <c r="F50" s="3">
        <v>20</v>
      </c>
      <c r="G50" s="3" t="s">
        <v>25</v>
      </c>
      <c r="H50" s="4">
        <v>5</v>
      </c>
      <c r="I50" s="3" t="s">
        <v>48</v>
      </c>
      <c r="J50" s="3" t="s">
        <v>95</v>
      </c>
      <c r="K50" s="3" t="s">
        <v>139</v>
      </c>
      <c r="L50" s="3" t="s">
        <v>148</v>
      </c>
      <c r="M50" s="3" t="s">
        <v>152</v>
      </c>
      <c r="N50" s="3"/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74">
        <v>1</v>
      </c>
      <c r="U50" s="107">
        <v>1</v>
      </c>
      <c r="V50" s="18">
        <f>T50-U50</f>
        <v>0</v>
      </c>
      <c r="W50" s="74">
        <v>0</v>
      </c>
      <c r="X50" s="74">
        <v>0</v>
      </c>
      <c r="Y50" s="8">
        <v>1</v>
      </c>
      <c r="AA50">
        <v>0</v>
      </c>
      <c r="AD50" s="15">
        <v>0</v>
      </c>
      <c r="AE50" s="57">
        <v>0</v>
      </c>
      <c r="AF50" s="57">
        <v>0</v>
      </c>
      <c r="AG50" s="57">
        <v>0</v>
      </c>
      <c r="AH50" s="3">
        <v>0</v>
      </c>
      <c r="AI50" s="5">
        <v>1</v>
      </c>
      <c r="AJ50" s="5">
        <v>0</v>
      </c>
      <c r="AK50" s="5">
        <v>1</v>
      </c>
    </row>
    <row r="51" spans="1:37" x14ac:dyDescent="0.25">
      <c r="A51" s="69" t="s">
        <v>81</v>
      </c>
      <c r="B51" s="76" t="s">
        <v>413</v>
      </c>
      <c r="C51" s="55" t="s">
        <v>271</v>
      </c>
      <c r="E51" s="27">
        <v>11.8</v>
      </c>
      <c r="F51" s="3">
        <v>20</v>
      </c>
      <c r="G51" s="3" t="s">
        <v>25</v>
      </c>
      <c r="H51" s="4">
        <v>64</v>
      </c>
      <c r="I51" s="3" t="s">
        <v>48</v>
      </c>
      <c r="J51" s="3" t="s">
        <v>95</v>
      </c>
      <c r="K51" s="3" t="s">
        <v>139</v>
      </c>
      <c r="L51" s="3" t="s">
        <v>147</v>
      </c>
      <c r="M51" s="3" t="s">
        <v>152</v>
      </c>
      <c r="N51" s="3"/>
      <c r="O51" s="63">
        <v>1</v>
      </c>
      <c r="P51" s="63">
        <v>0</v>
      </c>
      <c r="Q51" s="63">
        <v>0</v>
      </c>
      <c r="R51" s="63">
        <v>0</v>
      </c>
      <c r="S51" s="63">
        <v>0</v>
      </c>
      <c r="T51" s="82">
        <v>0</v>
      </c>
      <c r="U51" s="69"/>
      <c r="V51" s="18">
        <f>T51-U51</f>
        <v>0</v>
      </c>
      <c r="W51" s="69"/>
      <c r="X51" s="69"/>
      <c r="Y51" s="8">
        <v>0</v>
      </c>
      <c r="Z51" s="46" t="s">
        <v>192</v>
      </c>
      <c r="AA51" s="46">
        <v>0</v>
      </c>
      <c r="AB51" s="46"/>
      <c r="AC51" s="46"/>
      <c r="AD51" s="12">
        <v>0</v>
      </c>
      <c r="AE51" s="57">
        <v>0</v>
      </c>
      <c r="AF51" s="57">
        <v>0</v>
      </c>
      <c r="AG51" s="57">
        <v>0</v>
      </c>
      <c r="AH51" s="3">
        <v>0</v>
      </c>
      <c r="AI51" s="5">
        <v>1</v>
      </c>
      <c r="AJ51" s="5">
        <v>0</v>
      </c>
      <c r="AK51" s="5">
        <v>1</v>
      </c>
    </row>
    <row r="52" spans="1:37" x14ac:dyDescent="0.25">
      <c r="A52" s="3" t="s">
        <v>63</v>
      </c>
      <c r="B52" s="27" t="s">
        <v>392</v>
      </c>
      <c r="C52" s="55" t="s">
        <v>255</v>
      </c>
      <c r="E52" s="27">
        <v>12</v>
      </c>
      <c r="F52" s="3">
        <v>20</v>
      </c>
      <c r="G52" s="3" t="s">
        <v>25</v>
      </c>
      <c r="H52" s="4">
        <v>77</v>
      </c>
      <c r="I52" s="3" t="s">
        <v>48</v>
      </c>
      <c r="J52" s="3" t="s">
        <v>95</v>
      </c>
      <c r="K52" s="3" t="s">
        <v>96</v>
      </c>
      <c r="L52" s="3" t="s">
        <v>124</v>
      </c>
      <c r="M52" s="3" t="s">
        <v>152</v>
      </c>
      <c r="N52" s="3"/>
      <c r="O52" s="3">
        <v>1</v>
      </c>
      <c r="P52" s="3">
        <v>1</v>
      </c>
      <c r="Q52" s="3">
        <v>1</v>
      </c>
      <c r="R52" s="3">
        <v>1</v>
      </c>
      <c r="S52" s="12">
        <v>1</v>
      </c>
      <c r="T52" s="8">
        <v>31</v>
      </c>
      <c r="U52" s="89">
        <v>12</v>
      </c>
      <c r="V52" s="18">
        <f>T52-U52</f>
        <v>19</v>
      </c>
      <c r="W52" s="8">
        <v>0</v>
      </c>
      <c r="X52" s="8">
        <v>6</v>
      </c>
      <c r="Y52" s="8">
        <v>1</v>
      </c>
      <c r="Z52" s="95"/>
      <c r="AA52" s="95">
        <v>0</v>
      </c>
      <c r="AB52" s="95"/>
      <c r="AC52" s="95">
        <v>1</v>
      </c>
      <c r="AD52" s="3">
        <v>1</v>
      </c>
      <c r="AE52" s="57">
        <v>1</v>
      </c>
      <c r="AF52" s="57">
        <v>1</v>
      </c>
      <c r="AG52" s="57">
        <v>1</v>
      </c>
      <c r="AH52" s="5">
        <v>1</v>
      </c>
      <c r="AI52" s="5">
        <v>1</v>
      </c>
      <c r="AJ52" s="5">
        <v>1</v>
      </c>
      <c r="AK52" s="5">
        <v>1</v>
      </c>
    </row>
    <row r="53" spans="1:37" x14ac:dyDescent="0.25">
      <c r="A53" s="5" t="s">
        <v>52</v>
      </c>
      <c r="B53" s="50" t="s">
        <v>465</v>
      </c>
      <c r="C53" s="55" t="s">
        <v>242</v>
      </c>
      <c r="E53" s="27">
        <v>11.5</v>
      </c>
      <c r="F53" s="5">
        <v>20</v>
      </c>
      <c r="G53" s="5" t="s">
        <v>25</v>
      </c>
      <c r="H53" s="5">
        <v>64</v>
      </c>
      <c r="I53" s="5" t="s">
        <v>8</v>
      </c>
      <c r="J53" s="5" t="s">
        <v>95</v>
      </c>
      <c r="K53" s="5" t="s">
        <v>96</v>
      </c>
      <c r="L53" s="5" t="s">
        <v>121</v>
      </c>
      <c r="M53" s="5" t="s">
        <v>174</v>
      </c>
      <c r="N53" s="5" t="s">
        <v>190</v>
      </c>
      <c r="O53" s="5">
        <v>1</v>
      </c>
      <c r="P53" s="5">
        <v>1</v>
      </c>
      <c r="Q53" s="5">
        <v>1</v>
      </c>
      <c r="R53" s="5">
        <v>1</v>
      </c>
      <c r="S53" s="13">
        <v>1</v>
      </c>
      <c r="T53">
        <v>17</v>
      </c>
      <c r="U53" s="86">
        <v>7</v>
      </c>
      <c r="V53" s="18">
        <f>T53-U53</f>
        <v>10</v>
      </c>
      <c r="W53">
        <v>0</v>
      </c>
      <c r="X53">
        <v>0</v>
      </c>
      <c r="Y53" s="8">
        <v>1</v>
      </c>
      <c r="Z53" s="46"/>
      <c r="AA53" s="46">
        <v>0</v>
      </c>
      <c r="AB53" s="46"/>
      <c r="AC53" s="46">
        <v>1</v>
      </c>
      <c r="AD53" s="5">
        <v>1</v>
      </c>
      <c r="AE53" s="57">
        <v>1</v>
      </c>
      <c r="AF53" s="57">
        <v>0</v>
      </c>
      <c r="AG53" s="57">
        <v>1</v>
      </c>
      <c r="AH53" s="3">
        <v>0</v>
      </c>
      <c r="AI53" s="5">
        <v>1</v>
      </c>
      <c r="AJ53" s="5">
        <v>1</v>
      </c>
      <c r="AK53" s="5">
        <v>1</v>
      </c>
    </row>
    <row r="54" spans="1:37" x14ac:dyDescent="0.25">
      <c r="A54" s="3" t="s">
        <v>46</v>
      </c>
      <c r="B54" s="27" t="s">
        <v>460</v>
      </c>
      <c r="C54" s="55" t="s">
        <v>237</v>
      </c>
      <c r="E54" s="45">
        <v>11</v>
      </c>
      <c r="F54" s="3">
        <v>20</v>
      </c>
      <c r="G54" s="3" t="s">
        <v>25</v>
      </c>
      <c r="H54" s="4">
        <v>5</v>
      </c>
      <c r="I54" s="3" t="s">
        <v>8</v>
      </c>
      <c r="J54" s="3" t="s">
        <v>95</v>
      </c>
      <c r="K54" s="18" t="s">
        <v>96</v>
      </c>
      <c r="L54" s="3" t="s">
        <v>196</v>
      </c>
      <c r="M54" s="3" t="s">
        <v>174</v>
      </c>
      <c r="N54" s="3" t="s">
        <v>189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95">
        <v>30</v>
      </c>
      <c r="U54" s="98">
        <v>26</v>
      </c>
      <c r="V54" s="18">
        <f>T54-U54</f>
        <v>4</v>
      </c>
      <c r="W54" s="95">
        <v>2</v>
      </c>
      <c r="X54" s="95">
        <v>0</v>
      </c>
      <c r="Y54" s="8">
        <v>1</v>
      </c>
      <c r="AA54">
        <v>1</v>
      </c>
      <c r="AB54">
        <v>1</v>
      </c>
      <c r="AC54">
        <v>1</v>
      </c>
      <c r="AD54" s="14">
        <v>0</v>
      </c>
      <c r="AE54" s="57">
        <v>1</v>
      </c>
      <c r="AF54" s="57">
        <v>1</v>
      </c>
      <c r="AG54" s="57">
        <v>1</v>
      </c>
      <c r="AH54" s="5">
        <v>1</v>
      </c>
      <c r="AI54" s="5">
        <v>1</v>
      </c>
      <c r="AJ54" s="5">
        <v>1</v>
      </c>
      <c r="AK54" s="5">
        <v>1</v>
      </c>
    </row>
    <row r="55" spans="1:37" x14ac:dyDescent="0.25">
      <c r="A55" s="3" t="s">
        <v>40</v>
      </c>
      <c r="B55" s="27" t="s">
        <v>454</v>
      </c>
      <c r="C55" s="55" t="s">
        <v>231</v>
      </c>
      <c r="E55" s="27"/>
      <c r="F55" s="3">
        <v>20</v>
      </c>
      <c r="G55" s="3" t="s">
        <v>25</v>
      </c>
      <c r="H55" s="4">
        <v>5</v>
      </c>
      <c r="I55" s="3" t="s">
        <v>8</v>
      </c>
      <c r="J55" s="3" t="s">
        <v>95</v>
      </c>
      <c r="K55" s="3" t="s">
        <v>96</v>
      </c>
      <c r="L55" s="3" t="s">
        <v>103</v>
      </c>
      <c r="M55" s="3" t="s">
        <v>153</v>
      </c>
      <c r="N55" s="3" t="s">
        <v>172</v>
      </c>
      <c r="O55" s="3">
        <v>1</v>
      </c>
      <c r="P55" s="3">
        <v>1</v>
      </c>
      <c r="Q55" s="3">
        <v>1</v>
      </c>
      <c r="R55" s="3">
        <v>1</v>
      </c>
      <c r="S55" s="12">
        <v>1</v>
      </c>
      <c r="T55">
        <v>24</v>
      </c>
      <c r="U55" s="86">
        <v>2</v>
      </c>
      <c r="V55" s="18">
        <f>T55-U55</f>
        <v>22</v>
      </c>
      <c r="W55">
        <v>0</v>
      </c>
      <c r="X55">
        <v>4</v>
      </c>
      <c r="Y55" s="8">
        <v>1</v>
      </c>
      <c r="Z55" s="52">
        <v>1</v>
      </c>
      <c r="AA55" s="46">
        <v>0</v>
      </c>
      <c r="AB55" s="46"/>
      <c r="AC55" s="52"/>
      <c r="AD55" s="3">
        <v>1</v>
      </c>
      <c r="AE55" s="57">
        <v>1</v>
      </c>
      <c r="AF55" s="57">
        <v>0</v>
      </c>
      <c r="AG55" s="57">
        <v>1</v>
      </c>
      <c r="AH55" s="3">
        <v>0</v>
      </c>
      <c r="AI55" s="5">
        <v>1</v>
      </c>
      <c r="AJ55" s="5">
        <v>1</v>
      </c>
      <c r="AK55" s="5">
        <v>1</v>
      </c>
    </row>
    <row r="56" spans="1:37" x14ac:dyDescent="0.25">
      <c r="A56" s="93" t="s">
        <v>41</v>
      </c>
      <c r="B56" s="79" t="s">
        <v>455</v>
      </c>
      <c r="C56" s="67" t="s">
        <v>232</v>
      </c>
      <c r="E56" s="27"/>
      <c r="F56" s="5">
        <v>20</v>
      </c>
      <c r="G56" s="5" t="s">
        <v>25</v>
      </c>
      <c r="H56" s="9">
        <v>5</v>
      </c>
      <c r="I56" s="5" t="s">
        <v>8</v>
      </c>
      <c r="J56" s="5" t="s">
        <v>95</v>
      </c>
      <c r="K56" s="5" t="s">
        <v>115</v>
      </c>
      <c r="L56" s="5" t="s">
        <v>116</v>
      </c>
      <c r="M56" s="5" t="s">
        <v>153</v>
      </c>
      <c r="N56" s="5" t="s">
        <v>173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84">
        <v>0</v>
      </c>
      <c r="U56" s="76"/>
      <c r="V56" s="18">
        <f>T56-U56</f>
        <v>0</v>
      </c>
      <c r="W56" s="76"/>
      <c r="X56" s="76"/>
      <c r="Y56" s="8">
        <v>0</v>
      </c>
      <c r="AA56">
        <v>0</v>
      </c>
      <c r="AD56" s="11">
        <v>0</v>
      </c>
      <c r="AE56" s="57">
        <v>0</v>
      </c>
      <c r="AF56" s="57">
        <v>0</v>
      </c>
      <c r="AG56" s="57">
        <v>0</v>
      </c>
      <c r="AH56" s="3">
        <v>0</v>
      </c>
      <c r="AI56" s="5">
        <v>0</v>
      </c>
      <c r="AJ56" s="5">
        <v>0</v>
      </c>
      <c r="AK56" s="5">
        <v>0</v>
      </c>
    </row>
    <row r="57" spans="1:37" x14ac:dyDescent="0.25">
      <c r="A57" s="18" t="s">
        <v>24</v>
      </c>
      <c r="B57" s="27" t="s">
        <v>438</v>
      </c>
      <c r="C57" s="43" t="s">
        <v>215</v>
      </c>
      <c r="E57" s="45">
        <v>11</v>
      </c>
      <c r="F57" s="3">
        <v>20</v>
      </c>
      <c r="G57" s="3" t="s">
        <v>25</v>
      </c>
      <c r="H57" s="4">
        <v>5</v>
      </c>
      <c r="I57" s="3" t="s">
        <v>48</v>
      </c>
      <c r="J57" s="3" t="s">
        <v>95</v>
      </c>
      <c r="K57" s="3" t="s">
        <v>101</v>
      </c>
      <c r="L57" s="3" t="s">
        <v>107</v>
      </c>
      <c r="M57" s="3" t="s">
        <v>153</v>
      </c>
      <c r="N57" s="3"/>
      <c r="O57" s="18">
        <v>1</v>
      </c>
      <c r="P57" s="3">
        <v>1</v>
      </c>
      <c r="Q57" s="3">
        <v>1</v>
      </c>
      <c r="R57" s="18">
        <v>1</v>
      </c>
      <c r="S57" s="18">
        <v>1</v>
      </c>
      <c r="T57" s="8">
        <v>9</v>
      </c>
      <c r="U57" s="89">
        <v>7</v>
      </c>
      <c r="V57" s="18">
        <f>T57-U57</f>
        <v>2</v>
      </c>
      <c r="W57" s="8">
        <v>3</v>
      </c>
      <c r="X57" s="8">
        <v>1</v>
      </c>
      <c r="Y57" s="8">
        <v>1</v>
      </c>
      <c r="AA57">
        <v>1</v>
      </c>
      <c r="AB57">
        <v>1</v>
      </c>
      <c r="AC57">
        <v>1</v>
      </c>
      <c r="AD57" s="12">
        <v>0</v>
      </c>
      <c r="AE57" s="57">
        <v>1</v>
      </c>
      <c r="AF57" s="57">
        <v>1</v>
      </c>
      <c r="AG57" s="57">
        <v>1</v>
      </c>
      <c r="AH57" s="3">
        <v>0</v>
      </c>
      <c r="AI57" s="5">
        <v>0</v>
      </c>
      <c r="AJ57" s="5">
        <v>0</v>
      </c>
      <c r="AK57" s="5">
        <v>0</v>
      </c>
    </row>
    <row r="58" spans="1:37" x14ac:dyDescent="0.25">
      <c r="A58" s="69" t="s">
        <v>11</v>
      </c>
      <c r="B58" s="76" t="s">
        <v>411</v>
      </c>
      <c r="C58" s="43" t="s">
        <v>202</v>
      </c>
      <c r="E58" s="45">
        <v>11.5</v>
      </c>
      <c r="F58" s="5">
        <v>20</v>
      </c>
      <c r="G58" s="5" t="s">
        <v>7</v>
      </c>
      <c r="H58" s="5">
        <v>64</v>
      </c>
      <c r="I58" s="5" t="s">
        <v>8</v>
      </c>
      <c r="J58" s="5" t="s">
        <v>95</v>
      </c>
      <c r="K58" s="5" t="s">
        <v>96</v>
      </c>
      <c r="L58" s="5" t="s">
        <v>97</v>
      </c>
      <c r="M58" s="5" t="s">
        <v>153</v>
      </c>
      <c r="N58" s="5"/>
      <c r="O58" s="63">
        <v>0</v>
      </c>
      <c r="P58" s="63">
        <v>0</v>
      </c>
      <c r="Q58" s="5">
        <v>0</v>
      </c>
      <c r="R58" s="5">
        <v>0</v>
      </c>
      <c r="S58" s="5">
        <v>0</v>
      </c>
      <c r="T58" s="82">
        <v>0</v>
      </c>
      <c r="U58" s="69"/>
      <c r="V58" s="18">
        <f>T58-U58</f>
        <v>0</v>
      </c>
      <c r="W58" s="69"/>
      <c r="X58" s="69"/>
      <c r="Y58" s="8">
        <v>0</v>
      </c>
      <c r="AA58">
        <v>0</v>
      </c>
      <c r="AD58" s="5">
        <v>0</v>
      </c>
      <c r="AE58" s="57">
        <v>0</v>
      </c>
      <c r="AF58" s="57">
        <v>0</v>
      </c>
      <c r="AG58" s="57">
        <v>0</v>
      </c>
      <c r="AH58" s="3">
        <v>0</v>
      </c>
      <c r="AI58" s="5">
        <v>0</v>
      </c>
      <c r="AJ58" s="5">
        <v>0</v>
      </c>
      <c r="AK58" s="5">
        <v>0</v>
      </c>
    </row>
    <row r="59" spans="1:37" x14ac:dyDescent="0.25">
      <c r="A59" s="8" t="s">
        <v>365</v>
      </c>
      <c r="B59" t="s">
        <v>421</v>
      </c>
      <c r="C59" s="68" t="s">
        <v>372</v>
      </c>
      <c r="E59" s="45">
        <v>8</v>
      </c>
      <c r="F59" s="3">
        <v>19</v>
      </c>
      <c r="G59" s="3" t="s">
        <v>25</v>
      </c>
      <c r="H59" s="4">
        <v>64</v>
      </c>
      <c r="I59" s="3" t="s">
        <v>8</v>
      </c>
      <c r="J59" s="3" t="s">
        <v>95</v>
      </c>
      <c r="K59" s="3" t="s">
        <v>96</v>
      </c>
      <c r="L59" s="3" t="s">
        <v>103</v>
      </c>
      <c r="M59" s="3" t="s">
        <v>152</v>
      </c>
      <c r="N59" s="8"/>
      <c r="O59" s="73">
        <v>1</v>
      </c>
      <c r="P59" s="3">
        <v>1</v>
      </c>
      <c r="Q59" s="3">
        <v>1</v>
      </c>
      <c r="R59" s="62">
        <v>1</v>
      </c>
      <c r="S59" s="62">
        <v>1</v>
      </c>
      <c r="T59" s="95">
        <v>15</v>
      </c>
      <c r="U59" s="98">
        <v>10</v>
      </c>
      <c r="V59" s="18">
        <f>T59-U59</f>
        <v>5</v>
      </c>
      <c r="W59" s="95">
        <v>6</v>
      </c>
      <c r="X59" s="95">
        <v>2</v>
      </c>
      <c r="Y59" s="8">
        <v>1</v>
      </c>
      <c r="Z59" s="95"/>
      <c r="AA59">
        <v>1</v>
      </c>
      <c r="AB59">
        <v>1</v>
      </c>
      <c r="AC59">
        <v>1</v>
      </c>
      <c r="AD59" s="8"/>
      <c r="AE59" s="58">
        <v>1</v>
      </c>
      <c r="AF59" s="58">
        <v>1</v>
      </c>
      <c r="AG59" s="57">
        <v>1</v>
      </c>
      <c r="AH59" s="8"/>
      <c r="AI59" s="8"/>
      <c r="AJ59" s="8"/>
      <c r="AK59" s="8"/>
    </row>
    <row r="60" spans="1:37" x14ac:dyDescent="0.25">
      <c r="A60" s="62" t="s">
        <v>366</v>
      </c>
      <c r="B60" t="s">
        <v>422</v>
      </c>
      <c r="C60" s="43" t="s">
        <v>373</v>
      </c>
      <c r="E60" s="27">
        <v>7.8</v>
      </c>
      <c r="F60" s="5">
        <v>19</v>
      </c>
      <c r="G60" s="3" t="s">
        <v>25</v>
      </c>
      <c r="H60" s="9">
        <v>5</v>
      </c>
      <c r="I60" s="3" t="s">
        <v>8</v>
      </c>
      <c r="J60" s="5" t="s">
        <v>95</v>
      </c>
      <c r="K60" s="5" t="s">
        <v>115</v>
      </c>
      <c r="L60" s="5" t="s">
        <v>116</v>
      </c>
      <c r="M60" s="5" t="s">
        <v>152</v>
      </c>
      <c r="N60" s="8"/>
      <c r="O60" s="18">
        <v>1</v>
      </c>
      <c r="P60" s="3">
        <v>1</v>
      </c>
      <c r="Q60" s="3">
        <v>1</v>
      </c>
      <c r="R60" s="62">
        <v>1</v>
      </c>
      <c r="S60" s="8">
        <v>1</v>
      </c>
      <c r="T60">
        <v>22</v>
      </c>
      <c r="U60" s="86">
        <v>8</v>
      </c>
      <c r="V60" s="18">
        <f>T60-U60</f>
        <v>14</v>
      </c>
      <c r="W60">
        <v>3</v>
      </c>
      <c r="X60">
        <v>2</v>
      </c>
      <c r="Y60" s="8">
        <v>1</v>
      </c>
      <c r="AA60">
        <v>1</v>
      </c>
      <c r="AB60">
        <v>1</v>
      </c>
      <c r="AC60">
        <v>1</v>
      </c>
      <c r="AD60" s="8"/>
      <c r="AE60" s="58">
        <v>1</v>
      </c>
      <c r="AF60" s="58">
        <v>1</v>
      </c>
      <c r="AG60" s="57">
        <v>1</v>
      </c>
      <c r="AH60" s="8"/>
      <c r="AI60" s="8"/>
      <c r="AJ60" s="8"/>
      <c r="AK60" s="8"/>
    </row>
    <row r="61" spans="1:37" x14ac:dyDescent="0.25">
      <c r="A61" s="3" t="s">
        <v>51</v>
      </c>
      <c r="B61" s="27" t="s">
        <v>464</v>
      </c>
      <c r="C61" s="68" t="s">
        <v>241</v>
      </c>
      <c r="E61" s="45">
        <v>9</v>
      </c>
      <c r="F61" s="3">
        <v>19</v>
      </c>
      <c r="G61" s="3" t="s">
        <v>25</v>
      </c>
      <c r="H61" s="4">
        <v>5</v>
      </c>
      <c r="I61" s="3" t="s">
        <v>48</v>
      </c>
      <c r="J61" s="3" t="s">
        <v>95</v>
      </c>
      <c r="K61" s="3" t="s">
        <v>96</v>
      </c>
      <c r="L61" s="3" t="s">
        <v>97</v>
      </c>
      <c r="M61" s="3" t="s">
        <v>174</v>
      </c>
      <c r="N61" s="3"/>
      <c r="O61" s="3">
        <v>1</v>
      </c>
      <c r="P61" s="3">
        <v>1</v>
      </c>
      <c r="Q61" s="3">
        <v>1</v>
      </c>
      <c r="R61" s="3">
        <v>1</v>
      </c>
      <c r="S61" s="12">
        <v>1</v>
      </c>
      <c r="T61">
        <v>4</v>
      </c>
      <c r="U61" s="86">
        <v>1</v>
      </c>
      <c r="V61" s="18">
        <f>T61-U61</f>
        <v>3</v>
      </c>
      <c r="W61">
        <v>0</v>
      </c>
      <c r="X61">
        <v>0</v>
      </c>
      <c r="Y61" s="8">
        <v>1</v>
      </c>
      <c r="AA61">
        <v>1</v>
      </c>
      <c r="AD61" s="3">
        <v>1</v>
      </c>
      <c r="AE61" s="57">
        <v>1</v>
      </c>
      <c r="AF61" s="57">
        <v>0</v>
      </c>
      <c r="AG61" s="57">
        <v>1</v>
      </c>
      <c r="AH61" s="3">
        <v>0</v>
      </c>
      <c r="AI61" s="5">
        <v>1</v>
      </c>
      <c r="AJ61" s="5">
        <v>1</v>
      </c>
      <c r="AK61" s="5">
        <v>1</v>
      </c>
    </row>
    <row r="62" spans="1:37" s="43" customFormat="1" x14ac:dyDescent="0.25">
      <c r="A62" s="5" t="s">
        <v>45</v>
      </c>
      <c r="B62" s="50" t="s">
        <v>459</v>
      </c>
      <c r="C62" s="55" t="s">
        <v>236</v>
      </c>
      <c r="D62"/>
      <c r="E62" s="27">
        <v>8.6999999999999993</v>
      </c>
      <c r="F62" s="5">
        <v>19</v>
      </c>
      <c r="G62" s="5" t="s">
        <v>25</v>
      </c>
      <c r="H62" s="9">
        <v>5</v>
      </c>
      <c r="I62" s="5" t="s">
        <v>8</v>
      </c>
      <c r="J62" s="5" t="s">
        <v>95</v>
      </c>
      <c r="K62" s="5" t="s">
        <v>101</v>
      </c>
      <c r="L62" s="5" t="s">
        <v>120</v>
      </c>
      <c r="M62" s="5" t="s">
        <v>174</v>
      </c>
      <c r="N62" s="5" t="s">
        <v>189</v>
      </c>
      <c r="O62" s="5">
        <v>1</v>
      </c>
      <c r="P62" s="5">
        <v>1</v>
      </c>
      <c r="Q62" s="5">
        <v>1</v>
      </c>
      <c r="R62" s="5">
        <v>1</v>
      </c>
      <c r="S62" s="13">
        <v>1</v>
      </c>
      <c r="T62" s="95">
        <v>31</v>
      </c>
      <c r="U62" s="98">
        <v>13</v>
      </c>
      <c r="V62" s="18">
        <f>T62-U62</f>
        <v>18</v>
      </c>
      <c r="W62" s="95">
        <v>8</v>
      </c>
      <c r="X62" s="95">
        <v>10</v>
      </c>
      <c r="Y62" s="8">
        <v>1</v>
      </c>
      <c r="Z62"/>
      <c r="AA62">
        <v>1</v>
      </c>
      <c r="AB62">
        <v>1</v>
      </c>
      <c r="AC62">
        <v>1</v>
      </c>
      <c r="AD62" s="5">
        <v>1</v>
      </c>
      <c r="AE62" s="57">
        <v>1</v>
      </c>
      <c r="AF62" s="57">
        <v>1</v>
      </c>
      <c r="AG62" s="57">
        <v>1</v>
      </c>
      <c r="AH62" s="3">
        <v>0</v>
      </c>
      <c r="AI62" s="5">
        <v>0</v>
      </c>
      <c r="AJ62" s="5">
        <v>1</v>
      </c>
      <c r="AK62" s="5">
        <v>0</v>
      </c>
    </row>
    <row r="63" spans="1:37" x14ac:dyDescent="0.25">
      <c r="A63" s="5" t="s">
        <v>39</v>
      </c>
      <c r="B63" s="50" t="s">
        <v>453</v>
      </c>
      <c r="C63" s="55" t="s">
        <v>230</v>
      </c>
      <c r="E63" s="27"/>
      <c r="F63" s="5">
        <v>19</v>
      </c>
      <c r="G63" s="5" t="s">
        <v>25</v>
      </c>
      <c r="H63" s="5">
        <v>5</v>
      </c>
      <c r="I63" s="5" t="s">
        <v>8</v>
      </c>
      <c r="J63" s="5" t="s">
        <v>95</v>
      </c>
      <c r="K63" s="5" t="s">
        <v>96</v>
      </c>
      <c r="L63" s="5" t="s">
        <v>186</v>
      </c>
      <c r="M63" s="5" t="s">
        <v>152</v>
      </c>
      <c r="N63" s="5" t="s">
        <v>171</v>
      </c>
      <c r="O63" s="5">
        <v>1</v>
      </c>
      <c r="P63" s="5">
        <v>1</v>
      </c>
      <c r="Q63" s="5">
        <v>1</v>
      </c>
      <c r="R63" s="5">
        <v>1</v>
      </c>
      <c r="S63" s="13">
        <v>1</v>
      </c>
      <c r="T63" s="95">
        <v>40</v>
      </c>
      <c r="U63" s="98">
        <v>27</v>
      </c>
      <c r="V63" s="18">
        <f>T63-U63</f>
        <v>13</v>
      </c>
      <c r="W63" s="95">
        <v>13</v>
      </c>
      <c r="X63" s="95">
        <v>5</v>
      </c>
      <c r="Y63" s="8">
        <v>1</v>
      </c>
      <c r="Z63" s="95"/>
      <c r="AA63" s="95">
        <v>1</v>
      </c>
      <c r="AB63" s="95">
        <v>1</v>
      </c>
      <c r="AC63" s="108">
        <v>1</v>
      </c>
      <c r="AD63" s="5">
        <v>1</v>
      </c>
      <c r="AE63" s="57">
        <v>1</v>
      </c>
      <c r="AF63" s="57">
        <v>1</v>
      </c>
      <c r="AG63" s="57">
        <v>1</v>
      </c>
      <c r="AH63" s="3">
        <v>0</v>
      </c>
      <c r="AI63" s="5">
        <v>1</v>
      </c>
      <c r="AJ63" s="5">
        <v>1</v>
      </c>
      <c r="AK63" s="5">
        <v>1</v>
      </c>
    </row>
    <row r="64" spans="1:37" x14ac:dyDescent="0.25">
      <c r="A64" s="74" t="s">
        <v>364</v>
      </c>
      <c r="B64" t="s">
        <v>420</v>
      </c>
      <c r="C64" s="67" t="s">
        <v>371</v>
      </c>
      <c r="E64" s="27">
        <v>7.9</v>
      </c>
      <c r="F64" s="5">
        <v>18</v>
      </c>
      <c r="G64" s="3" t="s">
        <v>25</v>
      </c>
      <c r="H64" s="5">
        <v>5</v>
      </c>
      <c r="I64" s="3" t="s">
        <v>48</v>
      </c>
      <c r="J64" s="5" t="s">
        <v>95</v>
      </c>
      <c r="K64" s="5" t="s">
        <v>96</v>
      </c>
      <c r="L64" s="5" t="s">
        <v>103</v>
      </c>
      <c r="M64" s="5" t="s">
        <v>153</v>
      </c>
      <c r="N64" s="8"/>
      <c r="O64" s="73">
        <v>1</v>
      </c>
      <c r="P64" s="3">
        <v>1</v>
      </c>
      <c r="Q64" s="3">
        <v>1</v>
      </c>
      <c r="R64" s="74" t="s">
        <v>383</v>
      </c>
      <c r="S64" s="8"/>
      <c r="T64" s="88">
        <v>3</v>
      </c>
      <c r="U64" s="67"/>
      <c r="V64" s="18">
        <f>T64-U64</f>
        <v>3</v>
      </c>
      <c r="W64" s="67"/>
      <c r="X64" s="67"/>
      <c r="Y64" s="8">
        <v>1</v>
      </c>
      <c r="AA64">
        <v>0</v>
      </c>
      <c r="AD64" s="8"/>
      <c r="AE64" s="58">
        <v>0</v>
      </c>
      <c r="AF64" s="58">
        <v>0</v>
      </c>
      <c r="AG64" s="58">
        <v>0</v>
      </c>
      <c r="AH64" s="8"/>
      <c r="AI64" s="8"/>
      <c r="AJ64" s="8"/>
      <c r="AK64" s="8"/>
    </row>
    <row r="65" spans="1:37" s="43" customFormat="1" x14ac:dyDescent="0.25">
      <c r="A65" s="5" t="s">
        <v>80</v>
      </c>
      <c r="B65" s="50" t="s">
        <v>410</v>
      </c>
      <c r="C65" s="55" t="s">
        <v>270</v>
      </c>
      <c r="E65" s="27">
        <v>9.5</v>
      </c>
      <c r="F65" s="5">
        <v>18</v>
      </c>
      <c r="G65" s="5" t="s">
        <v>25</v>
      </c>
      <c r="H65" s="5">
        <v>64</v>
      </c>
      <c r="I65" s="5" t="s">
        <v>48</v>
      </c>
      <c r="J65" s="5" t="s">
        <v>95</v>
      </c>
      <c r="K65" s="5" t="s">
        <v>139</v>
      </c>
      <c r="L65" s="5" t="s">
        <v>147</v>
      </c>
      <c r="M65" s="5" t="s">
        <v>152</v>
      </c>
      <c r="N65" s="5"/>
      <c r="O65" s="5">
        <v>1</v>
      </c>
      <c r="P65" s="5">
        <v>1</v>
      </c>
      <c r="Q65" s="5">
        <v>1</v>
      </c>
      <c r="R65" s="5">
        <v>1</v>
      </c>
      <c r="S65" s="13">
        <v>1</v>
      </c>
      <c r="T65">
        <v>13</v>
      </c>
      <c r="U65" s="86">
        <v>3</v>
      </c>
      <c r="V65" s="18">
        <f>T65-U65</f>
        <v>10</v>
      </c>
      <c r="W65">
        <v>1</v>
      </c>
      <c r="X65">
        <v>8</v>
      </c>
      <c r="Y65" s="8">
        <v>0</v>
      </c>
      <c r="Z65"/>
      <c r="AA65">
        <v>1</v>
      </c>
      <c r="AB65"/>
      <c r="AC65"/>
      <c r="AD65" s="5">
        <v>1</v>
      </c>
      <c r="AE65" s="57">
        <v>1</v>
      </c>
      <c r="AF65" s="57">
        <v>1</v>
      </c>
      <c r="AG65" s="57">
        <v>1</v>
      </c>
      <c r="AH65" s="3">
        <v>1</v>
      </c>
      <c r="AI65" s="5">
        <v>1</v>
      </c>
      <c r="AJ65" s="5">
        <v>0</v>
      </c>
      <c r="AK65" s="5">
        <v>1</v>
      </c>
    </row>
    <row r="66" spans="1:37" x14ac:dyDescent="0.25">
      <c r="A66" s="5" t="s">
        <v>62</v>
      </c>
      <c r="B66" s="50" t="s">
        <v>391</v>
      </c>
      <c r="C66" s="55" t="s">
        <v>254</v>
      </c>
      <c r="E66" s="45">
        <v>11</v>
      </c>
      <c r="F66" s="5">
        <v>18</v>
      </c>
      <c r="G66" s="5" t="s">
        <v>25</v>
      </c>
      <c r="H66" s="9">
        <v>77</v>
      </c>
      <c r="I66" s="5" t="s">
        <v>48</v>
      </c>
      <c r="J66" s="5" t="s">
        <v>95</v>
      </c>
      <c r="K66" s="5" t="s">
        <v>96</v>
      </c>
      <c r="L66" s="5" t="s">
        <v>103</v>
      </c>
      <c r="M66" s="5" t="s">
        <v>153</v>
      </c>
      <c r="N66" s="5"/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95">
        <v>68</v>
      </c>
      <c r="U66" s="98">
        <v>24</v>
      </c>
      <c r="V66" s="18">
        <f>T66-U66</f>
        <v>44</v>
      </c>
      <c r="W66" s="95">
        <v>2</v>
      </c>
      <c r="X66" s="95">
        <v>12</v>
      </c>
      <c r="Y66" s="8">
        <v>1</v>
      </c>
      <c r="AA66">
        <v>1</v>
      </c>
      <c r="AB66">
        <v>1</v>
      </c>
      <c r="AC66">
        <v>1</v>
      </c>
      <c r="AD66" s="5">
        <v>0</v>
      </c>
      <c r="AE66" s="57">
        <v>1</v>
      </c>
      <c r="AF66" s="57">
        <v>1</v>
      </c>
      <c r="AG66" s="57">
        <v>1</v>
      </c>
      <c r="AH66" s="3">
        <v>1</v>
      </c>
      <c r="AI66" s="5">
        <v>1</v>
      </c>
      <c r="AJ66" s="5">
        <v>1</v>
      </c>
      <c r="AK66" s="5">
        <v>1</v>
      </c>
    </row>
    <row r="67" spans="1:37" x14ac:dyDescent="0.25">
      <c r="A67" s="3" t="s">
        <v>61</v>
      </c>
      <c r="B67" s="27" t="s">
        <v>390</v>
      </c>
      <c r="C67" s="55" t="s">
        <v>244</v>
      </c>
      <c r="E67" s="45">
        <v>10</v>
      </c>
      <c r="F67" s="3">
        <v>18</v>
      </c>
      <c r="G67" s="3" t="s">
        <v>25</v>
      </c>
      <c r="H67" s="4">
        <v>5</v>
      </c>
      <c r="I67" s="3" t="s">
        <v>8</v>
      </c>
      <c r="J67" s="3" t="s">
        <v>95</v>
      </c>
      <c r="K67" s="3" t="s">
        <v>125</v>
      </c>
      <c r="L67" s="3" t="s">
        <v>128</v>
      </c>
      <c r="M67" s="3" t="s">
        <v>153</v>
      </c>
      <c r="N67" s="3"/>
      <c r="O67" s="3">
        <v>1</v>
      </c>
      <c r="P67" s="3">
        <v>1</v>
      </c>
      <c r="Q67" s="3">
        <v>1</v>
      </c>
      <c r="R67" s="3">
        <v>1</v>
      </c>
      <c r="S67" s="12">
        <v>1</v>
      </c>
      <c r="T67" s="95">
        <v>16</v>
      </c>
      <c r="U67" s="98">
        <v>1</v>
      </c>
      <c r="V67" s="18">
        <f>T67-U67</f>
        <v>15</v>
      </c>
      <c r="W67" s="95">
        <v>1</v>
      </c>
      <c r="X67" s="95">
        <v>9</v>
      </c>
      <c r="Y67" s="8">
        <v>1</v>
      </c>
      <c r="Z67" s="27">
        <v>1</v>
      </c>
      <c r="AA67" s="27">
        <v>0</v>
      </c>
      <c r="AB67" s="27"/>
      <c r="AC67" s="27"/>
      <c r="AD67" s="3">
        <v>1</v>
      </c>
      <c r="AE67" s="57">
        <v>1</v>
      </c>
      <c r="AF67" s="57">
        <v>0</v>
      </c>
      <c r="AG67" s="57">
        <v>1</v>
      </c>
      <c r="AH67" s="3">
        <v>1</v>
      </c>
      <c r="AI67" s="5">
        <v>1</v>
      </c>
      <c r="AJ67" s="5">
        <v>0</v>
      </c>
      <c r="AK67" s="5">
        <v>1</v>
      </c>
    </row>
    <row r="68" spans="1:37" x14ac:dyDescent="0.25">
      <c r="A68" s="69" t="s">
        <v>50</v>
      </c>
      <c r="B68" s="76" t="s">
        <v>463</v>
      </c>
      <c r="C68" s="67" t="s">
        <v>240</v>
      </c>
      <c r="E68" s="45">
        <v>13</v>
      </c>
      <c r="F68" s="5">
        <v>18</v>
      </c>
      <c r="G68" s="5" t="s">
        <v>25</v>
      </c>
      <c r="H68" s="9">
        <v>5</v>
      </c>
      <c r="I68" s="5"/>
      <c r="J68" s="5" t="s">
        <v>95</v>
      </c>
      <c r="K68" s="5" t="s">
        <v>96</v>
      </c>
      <c r="L68" s="5" t="s">
        <v>110</v>
      </c>
      <c r="M68" s="5" t="s">
        <v>174</v>
      </c>
      <c r="N68" s="5"/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84">
        <v>0</v>
      </c>
      <c r="U68" s="76"/>
      <c r="V68" s="18">
        <f>T68-U68</f>
        <v>0</v>
      </c>
      <c r="W68" s="76"/>
      <c r="X68" s="76"/>
      <c r="Y68" s="8">
        <v>0</v>
      </c>
      <c r="AA68">
        <v>0</v>
      </c>
      <c r="AD68" s="11">
        <v>0</v>
      </c>
      <c r="AE68" s="57">
        <v>0</v>
      </c>
      <c r="AF68" s="57">
        <v>0</v>
      </c>
      <c r="AG68" s="57">
        <v>0</v>
      </c>
      <c r="AH68" s="3">
        <v>0</v>
      </c>
      <c r="AI68" s="5">
        <v>0</v>
      </c>
      <c r="AJ68" s="5">
        <v>0</v>
      </c>
      <c r="AK68" s="5">
        <v>0</v>
      </c>
    </row>
    <row r="69" spans="1:37" x14ac:dyDescent="0.25">
      <c r="A69" s="3" t="s">
        <v>44</v>
      </c>
      <c r="B69" s="27" t="s">
        <v>458</v>
      </c>
      <c r="C69" s="55" t="s">
        <v>235</v>
      </c>
      <c r="E69" s="45">
        <v>8</v>
      </c>
      <c r="F69" s="3">
        <v>18</v>
      </c>
      <c r="G69" s="3" t="s">
        <v>25</v>
      </c>
      <c r="H69" s="4">
        <v>5</v>
      </c>
      <c r="I69" s="3" t="s">
        <v>8</v>
      </c>
      <c r="J69" s="3" t="s">
        <v>95</v>
      </c>
      <c r="K69" s="3" t="s">
        <v>96</v>
      </c>
      <c r="L69" s="3" t="s">
        <v>103</v>
      </c>
      <c r="M69" s="3" t="s">
        <v>174</v>
      </c>
      <c r="N69" s="3" t="s">
        <v>189</v>
      </c>
      <c r="O69" s="3">
        <v>1</v>
      </c>
      <c r="P69" s="3">
        <v>1</v>
      </c>
      <c r="Q69" s="3">
        <v>1</v>
      </c>
      <c r="R69" s="3">
        <v>1</v>
      </c>
      <c r="S69" s="12">
        <v>1</v>
      </c>
      <c r="T69" s="95">
        <v>38</v>
      </c>
      <c r="U69" s="98">
        <v>24</v>
      </c>
      <c r="V69" s="18">
        <f>T69-U69</f>
        <v>14</v>
      </c>
      <c r="W69" s="95">
        <v>3</v>
      </c>
      <c r="X69" s="95">
        <v>4</v>
      </c>
      <c r="Y69" s="8">
        <v>1</v>
      </c>
      <c r="AA69">
        <v>1</v>
      </c>
      <c r="AB69">
        <v>1</v>
      </c>
      <c r="AC69" s="43">
        <v>1</v>
      </c>
      <c r="AD69" s="3">
        <v>1</v>
      </c>
      <c r="AE69" s="57">
        <v>1</v>
      </c>
      <c r="AF69" s="57">
        <v>1</v>
      </c>
      <c r="AG69" s="57">
        <v>1</v>
      </c>
      <c r="AH69" s="3">
        <v>1</v>
      </c>
      <c r="AI69" s="5">
        <v>1</v>
      </c>
      <c r="AJ69" s="5">
        <v>1</v>
      </c>
      <c r="AK69" s="5">
        <v>1</v>
      </c>
    </row>
    <row r="70" spans="1:37" x14ac:dyDescent="0.25">
      <c r="A70" s="3" t="s">
        <v>38</v>
      </c>
      <c r="B70" s="27" t="s">
        <v>452</v>
      </c>
      <c r="C70" s="55" t="s">
        <v>228</v>
      </c>
      <c r="E70" s="45">
        <v>9.6999999999999993</v>
      </c>
      <c r="F70" s="3">
        <v>18</v>
      </c>
      <c r="G70" s="3" t="s">
        <v>25</v>
      </c>
      <c r="H70" s="4">
        <v>5</v>
      </c>
      <c r="I70" s="3" t="s">
        <v>8</v>
      </c>
      <c r="J70" s="3" t="s">
        <v>95</v>
      </c>
      <c r="K70" s="3" t="s">
        <v>96</v>
      </c>
      <c r="L70" s="3" t="s">
        <v>103</v>
      </c>
      <c r="M70" s="3" t="s">
        <v>153</v>
      </c>
      <c r="N70" s="3" t="s">
        <v>170</v>
      </c>
      <c r="O70" s="3">
        <v>1</v>
      </c>
      <c r="P70" s="3">
        <v>1</v>
      </c>
      <c r="Q70" s="3">
        <v>1</v>
      </c>
      <c r="R70" s="3">
        <v>1</v>
      </c>
      <c r="S70" s="12">
        <v>1</v>
      </c>
      <c r="T70" s="95">
        <v>25</v>
      </c>
      <c r="U70" s="98">
        <v>20</v>
      </c>
      <c r="V70" s="18">
        <f>T70-U70</f>
        <v>5</v>
      </c>
      <c r="W70" s="95">
        <v>0</v>
      </c>
      <c r="X70" s="95">
        <v>2</v>
      </c>
      <c r="Y70" s="8">
        <v>1</v>
      </c>
      <c r="AA70">
        <v>0</v>
      </c>
      <c r="AC70">
        <v>1</v>
      </c>
      <c r="AD70" s="3">
        <v>1</v>
      </c>
      <c r="AE70" s="57">
        <v>1</v>
      </c>
      <c r="AF70" s="57">
        <v>0</v>
      </c>
      <c r="AG70" s="57">
        <v>1</v>
      </c>
      <c r="AH70" s="3">
        <v>1</v>
      </c>
      <c r="AI70" s="5">
        <v>1</v>
      </c>
      <c r="AJ70" s="5">
        <v>1</v>
      </c>
      <c r="AK70" s="5">
        <v>1</v>
      </c>
    </row>
    <row r="71" spans="1:37" x14ac:dyDescent="0.25">
      <c r="A71" s="3" t="s">
        <v>36</v>
      </c>
      <c r="B71" s="27" t="s">
        <v>450</v>
      </c>
      <c r="C71" s="55" t="s">
        <v>227</v>
      </c>
      <c r="E71" s="45">
        <v>10</v>
      </c>
      <c r="F71" s="3">
        <v>18</v>
      </c>
      <c r="G71" s="3" t="s">
        <v>25</v>
      </c>
      <c r="H71" s="4">
        <v>5</v>
      </c>
      <c r="I71" s="3" t="s">
        <v>8</v>
      </c>
      <c r="J71" s="3" t="s">
        <v>95</v>
      </c>
      <c r="K71" s="3" t="s">
        <v>113</v>
      </c>
      <c r="L71" s="3" t="s">
        <v>114</v>
      </c>
      <c r="M71" s="3" t="s">
        <v>153</v>
      </c>
      <c r="N71" s="3" t="s">
        <v>168</v>
      </c>
      <c r="O71" s="3">
        <v>1</v>
      </c>
      <c r="P71" s="3">
        <v>1</v>
      </c>
      <c r="Q71" s="3">
        <v>1</v>
      </c>
      <c r="R71" s="3">
        <v>1</v>
      </c>
      <c r="S71" s="12">
        <v>1</v>
      </c>
      <c r="T71" s="95">
        <v>7</v>
      </c>
      <c r="U71" s="98">
        <v>2</v>
      </c>
      <c r="V71" s="18">
        <f>T71-U71</f>
        <v>5</v>
      </c>
      <c r="W71" s="95">
        <v>2</v>
      </c>
      <c r="X71" s="95">
        <v>3</v>
      </c>
      <c r="Y71" s="8">
        <v>1</v>
      </c>
      <c r="Z71" s="46">
        <v>1</v>
      </c>
      <c r="AA71">
        <v>1</v>
      </c>
      <c r="AC71" s="46"/>
      <c r="AD71" s="3">
        <v>1</v>
      </c>
      <c r="AE71" s="57">
        <v>1</v>
      </c>
      <c r="AF71" s="57">
        <v>1</v>
      </c>
      <c r="AG71" s="57">
        <v>1</v>
      </c>
      <c r="AH71" s="3">
        <v>0</v>
      </c>
      <c r="AI71" s="5">
        <v>0</v>
      </c>
      <c r="AJ71" s="5">
        <v>0</v>
      </c>
      <c r="AK71" s="5">
        <v>0</v>
      </c>
    </row>
    <row r="72" spans="1:37" x14ac:dyDescent="0.25">
      <c r="A72" s="3" t="s">
        <v>79</v>
      </c>
      <c r="B72" s="27" t="s">
        <v>409</v>
      </c>
      <c r="C72" s="55" t="s">
        <v>269</v>
      </c>
      <c r="E72" s="27">
        <v>8.6999999999999993</v>
      </c>
      <c r="F72" s="3">
        <v>17</v>
      </c>
      <c r="G72" s="3" t="s">
        <v>25</v>
      </c>
      <c r="H72" s="4">
        <v>64</v>
      </c>
      <c r="I72" s="3" t="s">
        <v>48</v>
      </c>
      <c r="J72" s="3" t="s">
        <v>95</v>
      </c>
      <c r="K72" s="3" t="s">
        <v>139</v>
      </c>
      <c r="L72" s="3" t="s">
        <v>146</v>
      </c>
      <c r="M72" s="3" t="s">
        <v>153</v>
      </c>
      <c r="N72" s="3"/>
      <c r="O72" s="3">
        <v>1</v>
      </c>
      <c r="P72" s="3">
        <v>1</v>
      </c>
      <c r="Q72" s="3">
        <v>1</v>
      </c>
      <c r="R72" s="3">
        <v>1</v>
      </c>
      <c r="S72" s="12">
        <v>1</v>
      </c>
      <c r="T72" s="8">
        <v>24</v>
      </c>
      <c r="U72" s="89">
        <v>9</v>
      </c>
      <c r="V72" s="18">
        <f>T72-U72</f>
        <v>15</v>
      </c>
      <c r="W72" s="8">
        <v>7</v>
      </c>
      <c r="X72" s="8">
        <v>13</v>
      </c>
      <c r="Y72" s="8">
        <v>1</v>
      </c>
      <c r="AA72">
        <v>1</v>
      </c>
      <c r="AB72">
        <v>1</v>
      </c>
      <c r="AC72">
        <v>1</v>
      </c>
      <c r="AD72" s="3">
        <v>1</v>
      </c>
      <c r="AE72" s="57">
        <v>1</v>
      </c>
      <c r="AF72" s="57">
        <v>1</v>
      </c>
      <c r="AG72" s="57">
        <v>1</v>
      </c>
      <c r="AH72" s="3">
        <v>1</v>
      </c>
      <c r="AI72" s="5">
        <v>1</v>
      </c>
      <c r="AJ72" s="5">
        <v>0</v>
      </c>
      <c r="AK72" s="5">
        <v>1</v>
      </c>
    </row>
    <row r="73" spans="1:37" x14ac:dyDescent="0.25">
      <c r="A73" s="5" t="s">
        <v>60</v>
      </c>
      <c r="B73" s="50" t="s">
        <v>389</v>
      </c>
      <c r="C73" s="55" t="s">
        <v>253</v>
      </c>
      <c r="E73" s="27">
        <v>9.8000000000000007</v>
      </c>
      <c r="F73" s="5">
        <v>17</v>
      </c>
      <c r="G73" s="5" t="s">
        <v>25</v>
      </c>
      <c r="H73" s="5">
        <v>77</v>
      </c>
      <c r="I73" s="5" t="s">
        <v>48</v>
      </c>
      <c r="J73" s="5" t="s">
        <v>95</v>
      </c>
      <c r="K73" s="5" t="s">
        <v>96</v>
      </c>
      <c r="L73" s="5" t="s">
        <v>121</v>
      </c>
      <c r="M73" s="5" t="s">
        <v>152</v>
      </c>
      <c r="N73" s="5"/>
      <c r="O73" s="5">
        <v>1</v>
      </c>
      <c r="P73" s="5">
        <v>1</v>
      </c>
      <c r="Q73" s="5">
        <v>1</v>
      </c>
      <c r="R73" s="5">
        <v>1</v>
      </c>
      <c r="S73" s="13">
        <v>1</v>
      </c>
      <c r="T73">
        <v>13</v>
      </c>
      <c r="U73" s="86">
        <v>3</v>
      </c>
      <c r="V73" s="18">
        <f>T73-U73</f>
        <v>10</v>
      </c>
      <c r="W73">
        <v>0</v>
      </c>
      <c r="X73">
        <v>2</v>
      </c>
      <c r="Y73" s="8">
        <v>1</v>
      </c>
      <c r="Z73" s="95"/>
      <c r="AA73" s="95">
        <v>0</v>
      </c>
      <c r="AB73" s="95"/>
      <c r="AC73" s="95"/>
      <c r="AD73" s="5">
        <v>1</v>
      </c>
      <c r="AE73" s="57">
        <v>1</v>
      </c>
      <c r="AF73" s="57">
        <v>0</v>
      </c>
      <c r="AG73" s="57">
        <v>1</v>
      </c>
      <c r="AH73" s="3">
        <v>1</v>
      </c>
      <c r="AI73" s="5">
        <v>1</v>
      </c>
      <c r="AJ73" s="5">
        <v>1</v>
      </c>
      <c r="AK73" s="5">
        <v>1</v>
      </c>
    </row>
    <row r="74" spans="1:37" x14ac:dyDescent="0.25">
      <c r="A74" s="3" t="s">
        <v>59</v>
      </c>
      <c r="B74" s="27" t="s">
        <v>388</v>
      </c>
      <c r="C74" s="55" t="s">
        <v>252</v>
      </c>
      <c r="E74" s="27">
        <v>9.3000000000000007</v>
      </c>
      <c r="F74" s="3">
        <v>17</v>
      </c>
      <c r="G74" s="3" t="s">
        <v>25</v>
      </c>
      <c r="H74" s="4">
        <v>5</v>
      </c>
      <c r="I74" s="3" t="s">
        <v>48</v>
      </c>
      <c r="J74" s="3" t="s">
        <v>95</v>
      </c>
      <c r="K74" s="3" t="s">
        <v>96</v>
      </c>
      <c r="L74" s="3" t="s">
        <v>127</v>
      </c>
      <c r="M74" s="3" t="s">
        <v>153</v>
      </c>
      <c r="N74" s="3"/>
      <c r="O74" s="3">
        <v>1</v>
      </c>
      <c r="P74" s="3">
        <v>1</v>
      </c>
      <c r="Q74" s="3">
        <v>1</v>
      </c>
      <c r="R74" s="3">
        <v>1</v>
      </c>
      <c r="S74" s="12">
        <v>1</v>
      </c>
      <c r="T74">
        <v>7</v>
      </c>
      <c r="U74" s="86">
        <v>2</v>
      </c>
      <c r="V74" s="18">
        <f>T74-U74</f>
        <v>5</v>
      </c>
      <c r="W74">
        <v>0</v>
      </c>
      <c r="X74">
        <v>5</v>
      </c>
      <c r="Y74" s="8">
        <v>1</v>
      </c>
      <c r="Z74" s="27">
        <v>1</v>
      </c>
      <c r="AA74">
        <v>0</v>
      </c>
      <c r="AC74" s="94"/>
      <c r="AD74" s="3">
        <v>1</v>
      </c>
      <c r="AE74" s="57">
        <v>1</v>
      </c>
      <c r="AF74" s="57">
        <v>0</v>
      </c>
      <c r="AG74" s="57">
        <v>1</v>
      </c>
      <c r="AH74" s="3">
        <v>0</v>
      </c>
      <c r="AI74" s="5">
        <v>1</v>
      </c>
      <c r="AJ74" s="5">
        <v>1</v>
      </c>
      <c r="AK74" s="5">
        <v>1</v>
      </c>
    </row>
    <row r="75" spans="1:37" x14ac:dyDescent="0.25">
      <c r="A75" s="69" t="s">
        <v>49</v>
      </c>
      <c r="B75" s="76" t="s">
        <v>462</v>
      </c>
      <c r="C75" s="67" t="s">
        <v>239</v>
      </c>
      <c r="D75" s="43"/>
      <c r="E75" s="45">
        <v>12</v>
      </c>
      <c r="F75" s="3">
        <v>17</v>
      </c>
      <c r="G75" s="3" t="s">
        <v>25</v>
      </c>
      <c r="H75" s="4">
        <v>5</v>
      </c>
      <c r="I75" s="3" t="s">
        <v>8</v>
      </c>
      <c r="J75" s="3" t="s">
        <v>95</v>
      </c>
      <c r="K75" s="3" t="s">
        <v>96</v>
      </c>
      <c r="L75" s="3" t="s">
        <v>121</v>
      </c>
      <c r="M75" s="3" t="s">
        <v>174</v>
      </c>
      <c r="N75" s="3"/>
      <c r="O75" s="18" t="s">
        <v>381</v>
      </c>
      <c r="P75" s="3">
        <v>1</v>
      </c>
      <c r="Q75" s="3">
        <v>1</v>
      </c>
      <c r="R75" s="3">
        <v>0</v>
      </c>
      <c r="S75" s="3">
        <v>0</v>
      </c>
      <c r="T75" s="97">
        <v>0</v>
      </c>
      <c r="U75" s="92"/>
      <c r="V75" s="18">
        <f>T75-U75</f>
        <v>0</v>
      </c>
      <c r="W75" s="92"/>
      <c r="X75" s="92"/>
      <c r="Y75" s="8">
        <v>1</v>
      </c>
      <c r="AA75">
        <v>0</v>
      </c>
      <c r="AD75" s="12">
        <v>0</v>
      </c>
      <c r="AE75" s="57">
        <v>0</v>
      </c>
      <c r="AF75" s="57">
        <v>0</v>
      </c>
      <c r="AG75" s="57">
        <v>0</v>
      </c>
      <c r="AH75" s="3">
        <v>0</v>
      </c>
      <c r="AI75" s="5">
        <v>0</v>
      </c>
      <c r="AJ75" s="5">
        <v>0</v>
      </c>
      <c r="AK75" s="5">
        <v>0</v>
      </c>
    </row>
    <row r="76" spans="1:37" x14ac:dyDescent="0.25">
      <c r="A76" s="5" t="s">
        <v>37</v>
      </c>
      <c r="B76" s="50" t="s">
        <v>451</v>
      </c>
      <c r="C76" s="55" t="s">
        <v>229</v>
      </c>
      <c r="E76" s="45">
        <v>8.6999999999999993</v>
      </c>
      <c r="F76" s="5">
        <v>17</v>
      </c>
      <c r="G76" s="5" t="s">
        <v>25</v>
      </c>
      <c r="H76" s="9">
        <v>5</v>
      </c>
      <c r="I76" s="5" t="s">
        <v>8</v>
      </c>
      <c r="J76" s="5" t="s">
        <v>95</v>
      </c>
      <c r="K76" s="5" t="s">
        <v>96</v>
      </c>
      <c r="L76" s="5" t="s">
        <v>103</v>
      </c>
      <c r="M76" s="5" t="s">
        <v>152</v>
      </c>
      <c r="N76" s="5" t="s">
        <v>169</v>
      </c>
      <c r="O76" s="5">
        <v>1</v>
      </c>
      <c r="P76" s="5">
        <v>1</v>
      </c>
      <c r="Q76" s="5">
        <v>1</v>
      </c>
      <c r="R76" s="5">
        <v>1</v>
      </c>
      <c r="S76" s="13">
        <v>1</v>
      </c>
      <c r="T76" s="95">
        <v>7</v>
      </c>
      <c r="U76" s="98">
        <v>2</v>
      </c>
      <c r="V76" s="18">
        <f>T76-U76</f>
        <v>5</v>
      </c>
      <c r="W76" s="95">
        <v>1</v>
      </c>
      <c r="X76" s="95">
        <v>3</v>
      </c>
      <c r="Y76" s="8">
        <v>1</v>
      </c>
      <c r="AA76">
        <v>0</v>
      </c>
      <c r="AD76" s="5">
        <v>1</v>
      </c>
      <c r="AE76" s="57">
        <v>1</v>
      </c>
      <c r="AF76" s="57">
        <v>0</v>
      </c>
      <c r="AG76" s="57">
        <v>1</v>
      </c>
      <c r="AH76" s="3">
        <v>1</v>
      </c>
      <c r="AI76" s="5">
        <v>1</v>
      </c>
      <c r="AJ76" s="5">
        <v>1</v>
      </c>
      <c r="AK76" s="5">
        <v>1</v>
      </c>
    </row>
    <row r="77" spans="1:37" x14ac:dyDescent="0.25">
      <c r="A77" s="5" t="s">
        <v>35</v>
      </c>
      <c r="B77" s="50" t="s">
        <v>449</v>
      </c>
      <c r="C77" s="55" t="s">
        <v>226</v>
      </c>
      <c r="E77" s="45">
        <v>9</v>
      </c>
      <c r="F77" s="5">
        <v>17</v>
      </c>
      <c r="G77" s="5" t="s">
        <v>25</v>
      </c>
      <c r="H77" s="5">
        <v>5</v>
      </c>
      <c r="I77" s="5" t="s">
        <v>8</v>
      </c>
      <c r="J77" s="5" t="s">
        <v>95</v>
      </c>
      <c r="K77" s="5" t="s">
        <v>101</v>
      </c>
      <c r="L77" s="5" t="s">
        <v>112</v>
      </c>
      <c r="M77" s="5" t="s">
        <v>152</v>
      </c>
      <c r="N77" s="5" t="s">
        <v>167</v>
      </c>
      <c r="O77" s="5">
        <v>1</v>
      </c>
      <c r="P77" s="5">
        <v>1</v>
      </c>
      <c r="Q77" s="5">
        <v>1</v>
      </c>
      <c r="R77" s="5">
        <v>1</v>
      </c>
      <c r="S77" s="13">
        <v>1</v>
      </c>
      <c r="T77">
        <v>17</v>
      </c>
      <c r="U77" s="86">
        <v>8</v>
      </c>
      <c r="V77" s="18">
        <f>T77-U77</f>
        <v>9</v>
      </c>
      <c r="W77">
        <v>4</v>
      </c>
      <c r="X77">
        <v>5</v>
      </c>
      <c r="Y77" s="8">
        <v>1</v>
      </c>
      <c r="AA77">
        <v>1</v>
      </c>
      <c r="AB77">
        <v>1</v>
      </c>
      <c r="AC77">
        <v>1</v>
      </c>
      <c r="AD77" s="5">
        <v>1</v>
      </c>
      <c r="AE77" s="57">
        <v>1</v>
      </c>
      <c r="AF77" s="57">
        <v>1</v>
      </c>
      <c r="AG77" s="57">
        <v>1</v>
      </c>
      <c r="AH77" s="3">
        <v>1</v>
      </c>
      <c r="AI77" s="5">
        <v>1</v>
      </c>
      <c r="AJ77" s="5">
        <v>1</v>
      </c>
      <c r="AK77" s="5">
        <v>1</v>
      </c>
    </row>
    <row r="78" spans="1:37" x14ac:dyDescent="0.25">
      <c r="A78" s="5" t="s">
        <v>78</v>
      </c>
      <c r="B78" s="50" t="s">
        <v>408</v>
      </c>
      <c r="C78" s="55" t="s">
        <v>268</v>
      </c>
      <c r="E78" s="27">
        <v>7.7</v>
      </c>
      <c r="F78" s="5">
        <v>16</v>
      </c>
      <c r="G78" s="5" t="s">
        <v>25</v>
      </c>
      <c r="H78" s="9">
        <v>5</v>
      </c>
      <c r="I78" s="5" t="s">
        <v>48</v>
      </c>
      <c r="J78" s="5" t="s">
        <v>95</v>
      </c>
      <c r="K78" s="5" t="s">
        <v>139</v>
      </c>
      <c r="L78" s="5" t="s">
        <v>146</v>
      </c>
      <c r="M78" s="5" t="s">
        <v>152</v>
      </c>
      <c r="N78" s="5"/>
      <c r="O78" s="5">
        <v>1</v>
      </c>
      <c r="P78" s="5">
        <v>1</v>
      </c>
      <c r="Q78" s="5">
        <v>1</v>
      </c>
      <c r="R78" s="5">
        <v>1</v>
      </c>
      <c r="S78" s="13">
        <v>1</v>
      </c>
      <c r="T78" s="95">
        <v>22</v>
      </c>
      <c r="U78" s="98">
        <v>14</v>
      </c>
      <c r="V78" s="18">
        <f>T78-U78</f>
        <v>8</v>
      </c>
      <c r="W78" s="95">
        <v>14</v>
      </c>
      <c r="X78" s="95">
        <v>8</v>
      </c>
      <c r="Y78" s="8">
        <v>1</v>
      </c>
      <c r="AA78">
        <v>1</v>
      </c>
      <c r="AB78">
        <v>1</v>
      </c>
      <c r="AC78">
        <v>1</v>
      </c>
      <c r="AD78" s="5">
        <v>1</v>
      </c>
      <c r="AE78" s="57">
        <v>1</v>
      </c>
      <c r="AF78" s="99">
        <v>1</v>
      </c>
      <c r="AG78" s="57">
        <v>1</v>
      </c>
      <c r="AH78" s="3">
        <v>1</v>
      </c>
      <c r="AI78" s="5">
        <v>1</v>
      </c>
      <c r="AJ78" s="5">
        <v>0</v>
      </c>
      <c r="AK78" s="5">
        <v>1</v>
      </c>
    </row>
    <row r="79" spans="1:37" x14ac:dyDescent="0.25">
      <c r="A79" s="5" t="s">
        <v>58</v>
      </c>
      <c r="B79" s="50" t="s">
        <v>387</v>
      </c>
      <c r="C79" s="55" t="s">
        <v>251</v>
      </c>
      <c r="E79" s="27">
        <v>7.6</v>
      </c>
      <c r="F79" s="5">
        <v>16</v>
      </c>
      <c r="G79" s="5" t="s">
        <v>25</v>
      </c>
      <c r="H79" s="9">
        <v>77</v>
      </c>
      <c r="I79" s="5" t="s">
        <v>48</v>
      </c>
      <c r="J79" s="5" t="s">
        <v>95</v>
      </c>
      <c r="K79" s="5" t="s">
        <v>96</v>
      </c>
      <c r="L79" s="5" t="s">
        <v>185</v>
      </c>
      <c r="M79" s="5" t="s">
        <v>152</v>
      </c>
      <c r="N79" s="5"/>
      <c r="O79" s="5">
        <v>1</v>
      </c>
      <c r="P79" s="5">
        <v>1</v>
      </c>
      <c r="Q79" s="5">
        <v>1</v>
      </c>
      <c r="R79" s="5">
        <v>1</v>
      </c>
      <c r="S79" s="13">
        <v>1</v>
      </c>
      <c r="T79" s="8">
        <v>15</v>
      </c>
      <c r="U79" s="89">
        <v>2</v>
      </c>
      <c r="V79" s="18">
        <f>T79-U79</f>
        <v>13</v>
      </c>
      <c r="W79" s="8">
        <v>0</v>
      </c>
      <c r="X79" s="8">
        <v>7</v>
      </c>
      <c r="Y79" s="8">
        <v>1</v>
      </c>
      <c r="AA79">
        <v>0</v>
      </c>
      <c r="AD79" s="5">
        <v>1</v>
      </c>
      <c r="AE79" s="57">
        <v>1</v>
      </c>
      <c r="AF79" s="57">
        <v>1</v>
      </c>
      <c r="AG79" s="57">
        <v>1</v>
      </c>
      <c r="AH79" s="3">
        <v>0</v>
      </c>
      <c r="AI79" s="5">
        <v>1</v>
      </c>
      <c r="AJ79" s="5">
        <v>1</v>
      </c>
      <c r="AK79" s="5">
        <v>1</v>
      </c>
    </row>
    <row r="80" spans="1:37" x14ac:dyDescent="0.25">
      <c r="A80" s="3" t="s">
        <v>57</v>
      </c>
      <c r="B80" s="27" t="s">
        <v>470</v>
      </c>
      <c r="C80" s="55" t="s">
        <v>250</v>
      </c>
      <c r="E80" s="27">
        <v>7.4</v>
      </c>
      <c r="F80" s="3">
        <v>16</v>
      </c>
      <c r="G80" s="3" t="s">
        <v>25</v>
      </c>
      <c r="H80" s="4">
        <v>5</v>
      </c>
      <c r="I80" s="3" t="s">
        <v>48</v>
      </c>
      <c r="J80" s="3" t="s">
        <v>95</v>
      </c>
      <c r="K80" s="3" t="s">
        <v>125</v>
      </c>
      <c r="L80" s="3" t="s">
        <v>126</v>
      </c>
      <c r="M80" s="3" t="s">
        <v>152</v>
      </c>
      <c r="N80" s="3"/>
      <c r="O80" s="3">
        <v>1</v>
      </c>
      <c r="P80" s="3">
        <v>1</v>
      </c>
      <c r="Q80" s="3">
        <v>1</v>
      </c>
      <c r="R80" s="3">
        <v>1</v>
      </c>
      <c r="S80" s="12">
        <v>1</v>
      </c>
      <c r="T80" s="8">
        <v>9</v>
      </c>
      <c r="U80" s="89">
        <v>8</v>
      </c>
      <c r="V80" s="18">
        <f>T80-U80</f>
        <v>1</v>
      </c>
      <c r="W80" s="8">
        <v>4</v>
      </c>
      <c r="X80" s="8">
        <v>1</v>
      </c>
      <c r="Y80" s="8">
        <v>1</v>
      </c>
      <c r="Z80" s="27">
        <v>1</v>
      </c>
      <c r="AA80" s="27">
        <v>1</v>
      </c>
      <c r="AB80" s="27">
        <v>1</v>
      </c>
      <c r="AC80" s="27">
        <v>1</v>
      </c>
      <c r="AD80" s="3">
        <v>1</v>
      </c>
      <c r="AE80" s="57">
        <v>1</v>
      </c>
      <c r="AF80" s="57">
        <v>1</v>
      </c>
      <c r="AG80" s="57">
        <v>1</v>
      </c>
      <c r="AH80" s="3">
        <v>1</v>
      </c>
      <c r="AI80" s="5">
        <v>1</v>
      </c>
      <c r="AJ80" s="5">
        <v>0</v>
      </c>
      <c r="AK80" s="5">
        <v>1</v>
      </c>
    </row>
    <row r="81" spans="1:37" x14ac:dyDescent="0.25">
      <c r="A81" s="91" t="s">
        <v>47</v>
      </c>
      <c r="B81" s="50" t="s">
        <v>461</v>
      </c>
      <c r="C81" s="55" t="s">
        <v>238</v>
      </c>
      <c r="E81" s="27">
        <v>4.9000000000000004</v>
      </c>
      <c r="F81" s="53">
        <v>16</v>
      </c>
      <c r="G81" s="5" t="s">
        <v>25</v>
      </c>
      <c r="H81" s="5">
        <v>5</v>
      </c>
      <c r="I81" s="5" t="s">
        <v>48</v>
      </c>
      <c r="J81" s="53" t="s">
        <v>95</v>
      </c>
      <c r="K81" s="5" t="s">
        <v>96</v>
      </c>
      <c r="L81" s="5" t="s">
        <v>187</v>
      </c>
      <c r="M81" s="53" t="s">
        <v>174</v>
      </c>
      <c r="N81" s="91" t="s">
        <v>189</v>
      </c>
      <c r="O81" s="91">
        <v>1</v>
      </c>
      <c r="P81" s="91">
        <v>1</v>
      </c>
      <c r="Q81" s="91">
        <v>1</v>
      </c>
      <c r="R81" s="91">
        <v>1</v>
      </c>
      <c r="S81" s="103">
        <v>1</v>
      </c>
      <c r="T81" s="95">
        <v>4</v>
      </c>
      <c r="U81" s="98">
        <v>1</v>
      </c>
      <c r="V81" s="18">
        <f>T81-U81</f>
        <v>3</v>
      </c>
      <c r="W81" s="95">
        <v>1</v>
      </c>
      <c r="X81" s="95">
        <v>1</v>
      </c>
      <c r="Y81" s="95">
        <v>1</v>
      </c>
      <c r="AA81">
        <v>1</v>
      </c>
      <c r="AD81" s="91">
        <v>1</v>
      </c>
      <c r="AE81" s="99">
        <v>1</v>
      </c>
      <c r="AF81" s="99">
        <v>1</v>
      </c>
      <c r="AG81" s="57">
        <v>1</v>
      </c>
      <c r="AH81" s="94">
        <v>1</v>
      </c>
      <c r="AI81" s="91">
        <v>1</v>
      </c>
      <c r="AJ81" s="91">
        <v>1</v>
      </c>
      <c r="AK81" s="91">
        <v>1</v>
      </c>
    </row>
    <row r="82" spans="1:37" x14ac:dyDescent="0.25">
      <c r="A82" s="92" t="s">
        <v>17</v>
      </c>
      <c r="B82" s="76" t="s">
        <v>431</v>
      </c>
      <c r="C82" s="67" t="s">
        <v>208</v>
      </c>
      <c r="E82" s="27">
        <v>8.8000000000000007</v>
      </c>
      <c r="F82" s="53">
        <v>16</v>
      </c>
      <c r="G82" s="5" t="s">
        <v>7</v>
      </c>
      <c r="H82" s="9">
        <v>5</v>
      </c>
      <c r="I82" s="5" t="s">
        <v>8</v>
      </c>
      <c r="J82" s="5" t="s">
        <v>95</v>
      </c>
      <c r="K82" s="5" t="s">
        <v>96</v>
      </c>
      <c r="L82" s="5" t="s">
        <v>103</v>
      </c>
      <c r="M82" s="53" t="s">
        <v>152</v>
      </c>
      <c r="N82" s="91" t="s">
        <v>159</v>
      </c>
      <c r="O82" s="101">
        <v>1</v>
      </c>
      <c r="P82" s="101">
        <v>1</v>
      </c>
      <c r="Q82" s="101">
        <v>1</v>
      </c>
      <c r="R82" s="101">
        <v>1</v>
      </c>
      <c r="S82" s="101">
        <v>1</v>
      </c>
      <c r="T82" s="84">
        <v>0</v>
      </c>
      <c r="U82" s="76"/>
      <c r="V82" s="18">
        <f>T82-U82</f>
        <v>0</v>
      </c>
      <c r="W82" s="76"/>
      <c r="X82" s="76"/>
      <c r="Y82" s="95">
        <v>0</v>
      </c>
      <c r="AA82">
        <v>0</v>
      </c>
      <c r="AD82" s="102">
        <v>0</v>
      </c>
      <c r="AE82" s="99">
        <v>0</v>
      </c>
      <c r="AF82" s="99">
        <v>0</v>
      </c>
      <c r="AG82" s="57">
        <v>0</v>
      </c>
      <c r="AH82" s="94">
        <v>0</v>
      </c>
      <c r="AI82" s="91">
        <v>0</v>
      </c>
      <c r="AJ82" s="91">
        <v>0</v>
      </c>
      <c r="AK82" s="91">
        <v>0</v>
      </c>
    </row>
    <row r="83" spans="1:37" x14ac:dyDescent="0.25">
      <c r="A83" s="94" t="s">
        <v>77</v>
      </c>
      <c r="B83" s="27" t="s">
        <v>407</v>
      </c>
      <c r="C83" s="55" t="s">
        <v>267</v>
      </c>
      <c r="E83" s="27">
        <v>7.5</v>
      </c>
      <c r="F83" s="52">
        <v>15</v>
      </c>
      <c r="G83" s="3" t="s">
        <v>25</v>
      </c>
      <c r="H83" s="4">
        <v>64</v>
      </c>
      <c r="I83" s="3" t="s">
        <v>48</v>
      </c>
      <c r="J83" s="3" t="s">
        <v>95</v>
      </c>
      <c r="K83" s="3" t="s">
        <v>131</v>
      </c>
      <c r="L83" s="3" t="s">
        <v>184</v>
      </c>
      <c r="M83" s="3" t="s">
        <v>153</v>
      </c>
      <c r="N83" s="94"/>
      <c r="O83" s="94">
        <v>1</v>
      </c>
      <c r="P83" s="94">
        <v>1</v>
      </c>
      <c r="Q83" s="94">
        <v>1</v>
      </c>
      <c r="R83" s="94">
        <v>1</v>
      </c>
      <c r="S83" s="104">
        <v>1</v>
      </c>
      <c r="T83">
        <v>32</v>
      </c>
      <c r="U83" s="86">
        <v>7</v>
      </c>
      <c r="V83" s="18">
        <f>T83-U83</f>
        <v>25</v>
      </c>
      <c r="W83">
        <v>6</v>
      </c>
      <c r="X83">
        <v>21</v>
      </c>
      <c r="Y83" s="95">
        <v>1</v>
      </c>
      <c r="Z83" s="27">
        <v>1</v>
      </c>
      <c r="AA83" s="27">
        <v>1</v>
      </c>
      <c r="AB83">
        <v>1</v>
      </c>
      <c r="AC83">
        <v>1</v>
      </c>
      <c r="AD83" s="94">
        <v>1</v>
      </c>
      <c r="AE83" s="99">
        <v>1</v>
      </c>
      <c r="AF83" s="99">
        <v>1</v>
      </c>
      <c r="AG83" s="57">
        <v>1</v>
      </c>
      <c r="AH83" s="94">
        <v>1</v>
      </c>
      <c r="AI83" s="91">
        <v>1</v>
      </c>
      <c r="AJ83" s="91">
        <v>0</v>
      </c>
      <c r="AK83" s="91">
        <v>1</v>
      </c>
    </row>
    <row r="84" spans="1:37" x14ac:dyDescent="0.25">
      <c r="A84" s="91" t="s">
        <v>56</v>
      </c>
      <c r="B84" s="50" t="s">
        <v>469</v>
      </c>
      <c r="C84" s="55" t="s">
        <v>249</v>
      </c>
      <c r="E84" s="27">
        <v>7.7</v>
      </c>
      <c r="F84" s="53">
        <v>15</v>
      </c>
      <c r="G84" s="5" t="s">
        <v>25</v>
      </c>
      <c r="H84" s="5">
        <v>77</v>
      </c>
      <c r="I84" s="5" t="s">
        <v>48</v>
      </c>
      <c r="J84" s="5" t="s">
        <v>95</v>
      </c>
      <c r="K84" s="5" t="s">
        <v>96</v>
      </c>
      <c r="L84" s="5" t="s">
        <v>124</v>
      </c>
      <c r="M84" s="5" t="s">
        <v>153</v>
      </c>
      <c r="N84" s="91"/>
      <c r="O84" s="91">
        <v>1</v>
      </c>
      <c r="P84" s="91">
        <v>1</v>
      </c>
      <c r="Q84" s="91">
        <v>1</v>
      </c>
      <c r="R84" s="91">
        <v>1</v>
      </c>
      <c r="S84" s="103">
        <v>1</v>
      </c>
      <c r="T84">
        <v>17</v>
      </c>
      <c r="U84" s="86">
        <v>4</v>
      </c>
      <c r="V84" s="18">
        <f>T84-U84</f>
        <v>13</v>
      </c>
      <c r="W84">
        <v>2</v>
      </c>
      <c r="X84">
        <v>4</v>
      </c>
      <c r="Y84" s="95">
        <v>1</v>
      </c>
      <c r="AA84">
        <v>1</v>
      </c>
      <c r="AD84" s="91">
        <v>1</v>
      </c>
      <c r="AE84" s="99">
        <v>1</v>
      </c>
      <c r="AF84" s="99">
        <v>1</v>
      </c>
      <c r="AG84" s="57">
        <v>1</v>
      </c>
      <c r="AH84" s="94">
        <v>1</v>
      </c>
      <c r="AI84" s="91">
        <v>1</v>
      </c>
      <c r="AJ84" s="91">
        <v>1</v>
      </c>
      <c r="AK84" s="91">
        <v>1</v>
      </c>
    </row>
    <row r="85" spans="1:37" x14ac:dyDescent="0.25">
      <c r="A85" s="94" t="s">
        <v>16</v>
      </c>
      <c r="B85" s="27" t="s">
        <v>430</v>
      </c>
      <c r="C85" s="55" t="s">
        <v>207</v>
      </c>
      <c r="E85" s="45">
        <v>8.4</v>
      </c>
      <c r="F85" s="52">
        <v>15</v>
      </c>
      <c r="G85" s="3" t="s">
        <v>7</v>
      </c>
      <c r="H85" s="4">
        <v>5</v>
      </c>
      <c r="I85" s="3" t="s">
        <v>8</v>
      </c>
      <c r="J85" s="52" t="s">
        <v>95</v>
      </c>
      <c r="K85" s="3" t="s">
        <v>101</v>
      </c>
      <c r="L85" s="3" t="s">
        <v>102</v>
      </c>
      <c r="M85" s="3" t="s">
        <v>153</v>
      </c>
      <c r="N85" s="94" t="s">
        <v>158</v>
      </c>
      <c r="O85" s="94">
        <v>1</v>
      </c>
      <c r="P85" s="94">
        <v>1</v>
      </c>
      <c r="Q85" s="94">
        <v>1</v>
      </c>
      <c r="R85" s="94">
        <v>1</v>
      </c>
      <c r="S85" s="104">
        <v>1</v>
      </c>
      <c r="T85">
        <v>13</v>
      </c>
      <c r="U85" s="86">
        <v>6</v>
      </c>
      <c r="V85" s="18">
        <f>T85-U85</f>
        <v>7</v>
      </c>
      <c r="W85">
        <v>3</v>
      </c>
      <c r="X85">
        <v>5</v>
      </c>
      <c r="Y85" s="95">
        <v>1</v>
      </c>
      <c r="Z85" s="27">
        <v>1</v>
      </c>
      <c r="AA85" s="27">
        <v>1</v>
      </c>
      <c r="AB85" s="27">
        <v>1</v>
      </c>
      <c r="AC85" s="27">
        <v>1</v>
      </c>
      <c r="AD85" s="94">
        <v>1</v>
      </c>
      <c r="AE85" s="99">
        <v>1</v>
      </c>
      <c r="AF85" s="99">
        <v>1</v>
      </c>
      <c r="AG85" s="57">
        <v>1</v>
      </c>
      <c r="AH85" s="94">
        <v>0</v>
      </c>
      <c r="AI85" s="91">
        <v>0</v>
      </c>
      <c r="AJ85" s="91">
        <v>1</v>
      </c>
      <c r="AK85" s="91">
        <v>0</v>
      </c>
    </row>
    <row r="86" spans="1:37" x14ac:dyDescent="0.25">
      <c r="A86" s="92" t="s">
        <v>26</v>
      </c>
      <c r="B86" s="76" t="s">
        <v>441</v>
      </c>
      <c r="C86" s="67" t="s">
        <v>217</v>
      </c>
      <c r="E86" s="27"/>
      <c r="F86" s="52">
        <v>0</v>
      </c>
      <c r="G86" s="3" t="s">
        <v>25</v>
      </c>
      <c r="H86" s="4">
        <v>5</v>
      </c>
      <c r="I86" s="3" t="s">
        <v>8</v>
      </c>
      <c r="J86" s="3" t="s">
        <v>95</v>
      </c>
      <c r="K86" s="3" t="s">
        <v>96</v>
      </c>
      <c r="L86" s="3" t="s">
        <v>110</v>
      </c>
      <c r="M86" s="3"/>
      <c r="N86" s="94"/>
      <c r="O86" s="100">
        <v>0</v>
      </c>
      <c r="P86" s="100">
        <v>0</v>
      </c>
      <c r="Q86" s="100">
        <v>0</v>
      </c>
      <c r="R86" s="100">
        <v>0</v>
      </c>
      <c r="S86" s="100">
        <v>0</v>
      </c>
      <c r="T86" s="84">
        <v>0</v>
      </c>
      <c r="U86" s="76"/>
      <c r="V86" s="18">
        <f>T86-U86</f>
        <v>0</v>
      </c>
      <c r="W86" s="76"/>
      <c r="X86" s="76"/>
      <c r="Y86" s="95">
        <v>0</v>
      </c>
      <c r="AA86">
        <v>0</v>
      </c>
      <c r="AD86" s="94">
        <v>0</v>
      </c>
      <c r="AE86" s="99">
        <v>0</v>
      </c>
      <c r="AF86" s="99">
        <v>0</v>
      </c>
      <c r="AG86" s="57">
        <v>0</v>
      </c>
      <c r="AH86" s="91">
        <v>0</v>
      </c>
      <c r="AI86" s="91">
        <v>0</v>
      </c>
      <c r="AJ86" s="91">
        <v>0</v>
      </c>
      <c r="AK86" s="91">
        <v>0</v>
      </c>
    </row>
    <row r="87" spans="1:37" x14ac:dyDescent="0.25">
      <c r="A87" s="92" t="s">
        <v>27</v>
      </c>
      <c r="B87" s="76" t="s">
        <v>440</v>
      </c>
      <c r="C87" s="67" t="s">
        <v>218</v>
      </c>
      <c r="E87" s="27"/>
      <c r="F87" s="53">
        <v>0</v>
      </c>
      <c r="G87" s="5" t="s">
        <v>25</v>
      </c>
      <c r="H87" s="5">
        <v>5</v>
      </c>
      <c r="I87" s="5" t="s">
        <v>8</v>
      </c>
      <c r="J87" s="5" t="s">
        <v>95</v>
      </c>
      <c r="K87" s="5" t="s">
        <v>96</v>
      </c>
      <c r="L87" s="5" t="s">
        <v>110</v>
      </c>
      <c r="M87" s="5"/>
      <c r="N87" s="91"/>
      <c r="O87" s="102">
        <v>0</v>
      </c>
      <c r="P87" s="102">
        <v>0</v>
      </c>
      <c r="Q87" s="102">
        <v>0</v>
      </c>
      <c r="R87" s="102">
        <v>0</v>
      </c>
      <c r="S87" s="102">
        <v>0</v>
      </c>
      <c r="T87" s="84">
        <v>0</v>
      </c>
      <c r="U87" s="76"/>
      <c r="V87" s="18">
        <f>T87-U87</f>
        <v>0</v>
      </c>
      <c r="W87" s="76"/>
      <c r="X87" s="76"/>
      <c r="Y87" s="95">
        <v>0</v>
      </c>
      <c r="AA87">
        <v>0</v>
      </c>
      <c r="AD87" s="91">
        <v>0</v>
      </c>
      <c r="AE87" s="99">
        <v>0</v>
      </c>
      <c r="AF87" s="99">
        <v>0</v>
      </c>
      <c r="AG87" s="57">
        <v>0</v>
      </c>
      <c r="AH87" s="91">
        <v>0</v>
      </c>
      <c r="AI87" s="91">
        <v>0</v>
      </c>
      <c r="AJ87" s="91">
        <v>0</v>
      </c>
      <c r="AK87" s="91">
        <v>0</v>
      </c>
    </row>
    <row r="88" spans="1:37" x14ac:dyDescent="0.25">
      <c r="I88" s="3"/>
    </row>
  </sheetData>
  <sortState xmlns:xlrd2="http://schemas.microsoft.com/office/spreadsheetml/2017/richdata2" ref="A2:AK87">
    <sortCondition descending="1" ref="F2:F87"/>
  </sortState>
  <phoneticPr fontId="5" type="noConversion"/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37CE-576B-4DE9-9B27-1024BB06781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1CDA-1233-4640-B2C3-7EFDF8F41557}">
  <sheetPr codeName="Feuil2"/>
  <dimension ref="A1:Q80"/>
  <sheetViews>
    <sheetView workbookViewId="0">
      <selection activeCell="O25" sqref="O25"/>
    </sheetView>
  </sheetViews>
  <sheetFormatPr baseColWidth="10" defaultRowHeight="15" x14ac:dyDescent="0.25"/>
  <cols>
    <col min="1" max="1" width="4.140625" bestFit="1" customWidth="1"/>
    <col min="2" max="2" width="11.42578125" style="24"/>
    <col min="15" max="15" width="14.28515625" bestFit="1" customWidth="1"/>
    <col min="16" max="16" width="12.7109375" bestFit="1" customWidth="1"/>
    <col min="17" max="17" width="14" bestFit="1" customWidth="1"/>
  </cols>
  <sheetData>
    <row r="1" spans="1:17" x14ac:dyDescent="0.25">
      <c r="A1" s="6" t="s">
        <v>1</v>
      </c>
      <c r="B1" s="23" t="s">
        <v>181</v>
      </c>
      <c r="C1" s="6" t="s">
        <v>193</v>
      </c>
      <c r="D1" s="6" t="s">
        <v>182</v>
      </c>
    </row>
    <row r="2" spans="1:17" x14ac:dyDescent="0.25">
      <c r="A2" s="3">
        <v>0</v>
      </c>
      <c r="B2" s="26">
        <v>0</v>
      </c>
      <c r="C2" s="3"/>
      <c r="D2" s="3">
        <v>0</v>
      </c>
    </row>
    <row r="3" spans="1:17" x14ac:dyDescent="0.25">
      <c r="A3" s="5">
        <v>0</v>
      </c>
      <c r="B3" s="25">
        <v>0</v>
      </c>
      <c r="C3" s="5"/>
      <c r="D3" s="5">
        <v>0</v>
      </c>
      <c r="J3" s="29" t="s">
        <v>278</v>
      </c>
      <c r="K3" s="3" t="s">
        <v>280</v>
      </c>
      <c r="L3" s="3" t="s">
        <v>281</v>
      </c>
      <c r="M3" s="3" t="s">
        <v>282</v>
      </c>
      <c r="N3" s="3" t="s">
        <v>287</v>
      </c>
      <c r="O3" s="3" t="s">
        <v>288</v>
      </c>
      <c r="P3" s="3" t="s">
        <v>334</v>
      </c>
      <c r="Q3" s="3" t="s">
        <v>335</v>
      </c>
    </row>
    <row r="4" spans="1:17" x14ac:dyDescent="0.25">
      <c r="A4" s="3">
        <v>15</v>
      </c>
      <c r="B4" s="20">
        <v>13</v>
      </c>
      <c r="C4" s="3">
        <v>6</v>
      </c>
      <c r="D4" s="9">
        <v>3</v>
      </c>
      <c r="J4" s="3" t="s">
        <v>279</v>
      </c>
      <c r="K4" s="3">
        <v>112</v>
      </c>
      <c r="L4" s="3">
        <v>90</v>
      </c>
      <c r="M4" s="29">
        <v>60</v>
      </c>
      <c r="N4" s="8">
        <f>(L4/K4)*100</f>
        <v>80.357142857142861</v>
      </c>
      <c r="O4" s="33">
        <f>(M4/L4)*100</f>
        <v>66.666666666666657</v>
      </c>
      <c r="P4" s="8">
        <v>7</v>
      </c>
      <c r="Q4" s="41">
        <f>M4/P4</f>
        <v>8.5714285714285712</v>
      </c>
    </row>
    <row r="5" spans="1:17" x14ac:dyDescent="0.25">
      <c r="A5" s="5">
        <v>15</v>
      </c>
      <c r="B5" s="19">
        <v>17</v>
      </c>
      <c r="C5" s="5">
        <v>17</v>
      </c>
      <c r="D5" s="9">
        <v>7</v>
      </c>
      <c r="J5" s="27"/>
      <c r="K5" s="27"/>
      <c r="L5" s="27"/>
      <c r="M5" s="27"/>
    </row>
    <row r="6" spans="1:17" x14ac:dyDescent="0.25">
      <c r="A6" s="3">
        <v>15</v>
      </c>
      <c r="B6" s="20">
        <v>32</v>
      </c>
      <c r="C6" s="3">
        <v>24</v>
      </c>
      <c r="D6" s="4">
        <v>19</v>
      </c>
      <c r="J6" s="28" t="s">
        <v>283</v>
      </c>
      <c r="K6" s="3" t="s">
        <v>280</v>
      </c>
      <c r="L6" s="3" t="s">
        <v>281</v>
      </c>
      <c r="M6" s="3" t="s">
        <v>282</v>
      </c>
      <c r="N6" s="3" t="s">
        <v>287</v>
      </c>
      <c r="O6" s="3" t="s">
        <v>288</v>
      </c>
      <c r="P6" s="3" t="s">
        <v>334</v>
      </c>
      <c r="Q6" s="3" t="s">
        <v>335</v>
      </c>
    </row>
    <row r="7" spans="1:17" x14ac:dyDescent="0.25">
      <c r="A7" s="5">
        <v>16</v>
      </c>
      <c r="B7" s="25">
        <v>0</v>
      </c>
      <c r="C7" s="5"/>
      <c r="D7" s="5">
        <v>0</v>
      </c>
      <c r="J7" s="3" t="s">
        <v>279</v>
      </c>
      <c r="K7" s="3">
        <v>235</v>
      </c>
      <c r="L7" s="3">
        <v>195</v>
      </c>
      <c r="M7" s="28">
        <v>53</v>
      </c>
      <c r="N7" s="8">
        <f>(L7/K7)*100</f>
        <v>82.978723404255319</v>
      </c>
      <c r="O7" s="34">
        <f>(M7/L7)*100</f>
        <v>27.179487179487179</v>
      </c>
      <c r="P7" s="8">
        <v>11</v>
      </c>
      <c r="Q7" s="41">
        <f>M7/P7</f>
        <v>4.8181818181818183</v>
      </c>
    </row>
    <row r="8" spans="1:17" x14ac:dyDescent="0.25">
      <c r="A8" s="5">
        <v>16</v>
      </c>
      <c r="B8" s="19">
        <v>4</v>
      </c>
      <c r="C8" s="5">
        <v>4</v>
      </c>
      <c r="D8" s="9">
        <v>3</v>
      </c>
      <c r="J8" s="27"/>
      <c r="K8" s="27"/>
      <c r="L8" s="27"/>
      <c r="M8" s="27"/>
    </row>
    <row r="9" spans="1:17" x14ac:dyDescent="0.25">
      <c r="A9" s="3">
        <v>16</v>
      </c>
      <c r="B9" s="20">
        <v>9</v>
      </c>
      <c r="C9" s="3">
        <v>9</v>
      </c>
      <c r="D9" s="4">
        <v>6</v>
      </c>
      <c r="J9" s="17" t="s">
        <v>284</v>
      </c>
      <c r="K9" s="3" t="s">
        <v>280</v>
      </c>
      <c r="L9" s="3" t="s">
        <v>281</v>
      </c>
      <c r="M9" s="3" t="s">
        <v>282</v>
      </c>
      <c r="N9" s="3" t="s">
        <v>287</v>
      </c>
      <c r="O9" s="3" t="s">
        <v>288</v>
      </c>
      <c r="P9" s="3" t="s">
        <v>334</v>
      </c>
      <c r="Q9" s="3" t="s">
        <v>335</v>
      </c>
    </row>
    <row r="10" spans="1:17" x14ac:dyDescent="0.25">
      <c r="A10" s="5">
        <v>16</v>
      </c>
      <c r="B10" s="19">
        <v>15</v>
      </c>
      <c r="C10" s="5">
        <v>14</v>
      </c>
      <c r="D10" s="9">
        <v>6</v>
      </c>
      <c r="E10" t="s">
        <v>278</v>
      </c>
      <c r="F10" t="s">
        <v>280</v>
      </c>
      <c r="G10" t="s">
        <v>281</v>
      </c>
      <c r="H10" t="s">
        <v>282</v>
      </c>
      <c r="J10" s="3" t="s">
        <v>279</v>
      </c>
      <c r="K10" s="3">
        <v>178</v>
      </c>
      <c r="L10" s="3">
        <v>131</v>
      </c>
      <c r="M10" s="17">
        <v>27</v>
      </c>
      <c r="N10" s="8">
        <f>(L10/K10)*100</f>
        <v>73.595505617977537</v>
      </c>
      <c r="O10" s="35">
        <f>(M10/L10)*100</f>
        <v>20.610687022900763</v>
      </c>
      <c r="P10" s="8">
        <v>7</v>
      </c>
      <c r="Q10" s="41">
        <f>M10/P10</f>
        <v>3.8571428571428572</v>
      </c>
    </row>
    <row r="11" spans="1:17" x14ac:dyDescent="0.25">
      <c r="A11" s="5">
        <v>16</v>
      </c>
      <c r="B11" s="19">
        <v>22</v>
      </c>
      <c r="C11" s="5">
        <v>16</v>
      </c>
      <c r="D11" s="9">
        <v>16</v>
      </c>
      <c r="E11" t="s">
        <v>279</v>
      </c>
      <c r="F11">
        <f>SUM(B4:B11)</f>
        <v>112</v>
      </c>
      <c r="G11">
        <f>SUM(C4:C11)</f>
        <v>90</v>
      </c>
      <c r="H11">
        <f>SUM(D4:D11)</f>
        <v>60</v>
      </c>
      <c r="J11" s="27"/>
      <c r="K11" s="27"/>
      <c r="L11" s="27"/>
      <c r="M11" s="27"/>
    </row>
    <row r="12" spans="1:17" x14ac:dyDescent="0.25">
      <c r="A12" s="5">
        <v>17</v>
      </c>
      <c r="B12" s="19">
        <v>17</v>
      </c>
      <c r="C12" s="5">
        <v>15</v>
      </c>
      <c r="D12" s="9">
        <v>8</v>
      </c>
      <c r="J12" s="30" t="s">
        <v>286</v>
      </c>
      <c r="K12" s="3" t="s">
        <v>280</v>
      </c>
      <c r="L12" s="3" t="s">
        <v>281</v>
      </c>
      <c r="M12" s="3" t="s">
        <v>282</v>
      </c>
      <c r="N12" s="3" t="s">
        <v>287</v>
      </c>
      <c r="O12" s="3" t="s">
        <v>288</v>
      </c>
      <c r="P12" s="3" t="s">
        <v>334</v>
      </c>
      <c r="Q12" s="3" t="s">
        <v>335</v>
      </c>
    </row>
    <row r="13" spans="1:17" x14ac:dyDescent="0.25">
      <c r="A13" s="5">
        <v>17</v>
      </c>
      <c r="B13" s="19">
        <v>7</v>
      </c>
      <c r="C13" s="5">
        <v>5</v>
      </c>
      <c r="D13" s="42">
        <v>2</v>
      </c>
      <c r="J13" s="3" t="s">
        <v>279</v>
      </c>
      <c r="K13" s="3">
        <v>255</v>
      </c>
      <c r="L13" s="3">
        <v>173</v>
      </c>
      <c r="M13" s="30">
        <v>58</v>
      </c>
      <c r="N13" s="8">
        <f>(L13/K13)*100</f>
        <v>67.843137254901961</v>
      </c>
      <c r="O13" s="36">
        <f>(M13/L13)*100</f>
        <v>33.52601156069364</v>
      </c>
      <c r="P13" s="8">
        <v>13</v>
      </c>
      <c r="Q13" s="41">
        <f>M13/P13</f>
        <v>4.4615384615384617</v>
      </c>
    </row>
    <row r="14" spans="1:17" x14ac:dyDescent="0.25">
      <c r="A14" s="3">
        <v>17</v>
      </c>
      <c r="B14" s="21">
        <v>0</v>
      </c>
      <c r="C14" s="3"/>
      <c r="D14" s="3">
        <v>0</v>
      </c>
      <c r="J14" s="27"/>
      <c r="K14" s="27"/>
      <c r="L14" s="27"/>
      <c r="M14" s="27"/>
    </row>
    <row r="15" spans="1:17" x14ac:dyDescent="0.25">
      <c r="A15" s="3">
        <v>17</v>
      </c>
      <c r="B15" s="20">
        <v>7</v>
      </c>
      <c r="C15" s="3">
        <v>7</v>
      </c>
      <c r="D15" s="4">
        <v>5</v>
      </c>
      <c r="J15" s="31" t="s">
        <v>285</v>
      </c>
      <c r="K15" s="3" t="s">
        <v>280</v>
      </c>
      <c r="L15" s="3" t="s">
        <v>281</v>
      </c>
      <c r="M15" s="3" t="s">
        <v>282</v>
      </c>
      <c r="N15" s="3" t="s">
        <v>287</v>
      </c>
      <c r="O15" s="3" t="s">
        <v>288</v>
      </c>
      <c r="P15" s="3" t="s">
        <v>334</v>
      </c>
      <c r="Q15" s="3" t="s">
        <v>335</v>
      </c>
    </row>
    <row r="16" spans="1:17" x14ac:dyDescent="0.25">
      <c r="A16" s="5">
        <v>17</v>
      </c>
      <c r="B16" s="19">
        <v>13</v>
      </c>
      <c r="C16" s="5">
        <v>13</v>
      </c>
      <c r="D16" s="42">
        <v>1</v>
      </c>
      <c r="J16" s="3" t="s">
        <v>279</v>
      </c>
      <c r="K16" s="3">
        <v>141</v>
      </c>
      <c r="L16" s="3">
        <v>103</v>
      </c>
      <c r="M16" s="31">
        <v>22</v>
      </c>
      <c r="N16" s="8">
        <f>(L16/K16)*100</f>
        <v>73.049645390070921</v>
      </c>
      <c r="O16" s="37">
        <f>(M16/L16)*100</f>
        <v>21.359223300970871</v>
      </c>
      <c r="P16" s="8">
        <v>11</v>
      </c>
      <c r="Q16" s="41">
        <f>M16/P16</f>
        <v>2</v>
      </c>
    </row>
    <row r="17" spans="1:17" x14ac:dyDescent="0.25">
      <c r="A17" s="3">
        <v>17</v>
      </c>
      <c r="B17" s="20">
        <v>24</v>
      </c>
      <c r="C17" s="3">
        <v>12</v>
      </c>
      <c r="D17" s="4">
        <v>10</v>
      </c>
      <c r="J17" s="27"/>
      <c r="K17" s="27"/>
      <c r="L17" s="27"/>
      <c r="M17" s="27"/>
    </row>
    <row r="18" spans="1:17" x14ac:dyDescent="0.25">
      <c r="A18" s="3">
        <v>18</v>
      </c>
      <c r="B18" s="20">
        <v>7</v>
      </c>
      <c r="C18" s="3">
        <v>1</v>
      </c>
      <c r="D18" s="42">
        <v>1</v>
      </c>
      <c r="J18" s="32">
        <v>25</v>
      </c>
      <c r="K18" s="3" t="s">
        <v>280</v>
      </c>
      <c r="L18" s="3" t="s">
        <v>281</v>
      </c>
      <c r="M18" s="3" t="s">
        <v>282</v>
      </c>
      <c r="N18" s="3" t="s">
        <v>287</v>
      </c>
      <c r="O18" s="3" t="s">
        <v>288</v>
      </c>
      <c r="P18" s="3" t="s">
        <v>334</v>
      </c>
      <c r="Q18" s="3" t="s">
        <v>335</v>
      </c>
    </row>
    <row r="19" spans="1:17" x14ac:dyDescent="0.25">
      <c r="A19" s="3">
        <v>18</v>
      </c>
      <c r="B19" s="20">
        <v>25</v>
      </c>
      <c r="C19" s="3">
        <v>23</v>
      </c>
      <c r="D19" s="42">
        <v>2</v>
      </c>
      <c r="J19" s="3" t="s">
        <v>279</v>
      </c>
      <c r="K19" s="3">
        <v>81</v>
      </c>
      <c r="L19" s="3">
        <v>50</v>
      </c>
      <c r="M19" s="32">
        <v>27</v>
      </c>
      <c r="N19" s="8">
        <f>(L19/K19)*100</f>
        <v>61.728395061728392</v>
      </c>
      <c r="O19" s="38">
        <f>(M19/L19)*100</f>
        <v>54</v>
      </c>
      <c r="P19" s="8">
        <v>3</v>
      </c>
      <c r="Q19" s="41">
        <f>M19/P19</f>
        <v>9</v>
      </c>
    </row>
    <row r="20" spans="1:17" x14ac:dyDescent="0.25">
      <c r="A20" s="3">
        <v>18</v>
      </c>
      <c r="B20" s="20">
        <v>38</v>
      </c>
      <c r="C20" s="3">
        <v>32</v>
      </c>
      <c r="D20" s="42">
        <v>2</v>
      </c>
    </row>
    <row r="21" spans="1:17" x14ac:dyDescent="0.25">
      <c r="A21" s="5">
        <v>18</v>
      </c>
      <c r="B21" s="25">
        <v>0</v>
      </c>
      <c r="C21" s="5"/>
      <c r="D21" s="5">
        <v>0</v>
      </c>
      <c r="J21" s="8" t="s">
        <v>289</v>
      </c>
      <c r="K21" s="8">
        <f>SUM(K4:K19)</f>
        <v>1002</v>
      </c>
      <c r="L21" s="8">
        <f t="shared" ref="L21:M21" si="0">SUM(L4:L19)</f>
        <v>742</v>
      </c>
      <c r="M21" s="8">
        <f t="shared" si="0"/>
        <v>247</v>
      </c>
    </row>
    <row r="22" spans="1:17" x14ac:dyDescent="0.25">
      <c r="A22" s="3">
        <v>18</v>
      </c>
      <c r="B22" s="20">
        <v>16</v>
      </c>
      <c r="C22" s="3">
        <v>11</v>
      </c>
      <c r="D22" s="4">
        <v>5</v>
      </c>
    </row>
    <row r="23" spans="1:17" x14ac:dyDescent="0.25">
      <c r="A23" s="5">
        <v>18</v>
      </c>
      <c r="B23" s="19">
        <v>68</v>
      </c>
      <c r="C23" s="5">
        <v>65</v>
      </c>
      <c r="D23" s="9">
        <v>10</v>
      </c>
      <c r="E23" t="s">
        <v>283</v>
      </c>
      <c r="F23" t="s">
        <v>280</v>
      </c>
      <c r="G23" t="s">
        <v>281</v>
      </c>
      <c r="H23" t="s">
        <v>282</v>
      </c>
    </row>
    <row r="24" spans="1:17" x14ac:dyDescent="0.25">
      <c r="A24" s="5">
        <v>18</v>
      </c>
      <c r="B24" s="19">
        <v>13</v>
      </c>
      <c r="C24" s="5">
        <v>11</v>
      </c>
      <c r="D24" s="9">
        <v>7</v>
      </c>
      <c r="E24" t="s">
        <v>279</v>
      </c>
      <c r="F24">
        <f>SUM(B12:B24)</f>
        <v>235</v>
      </c>
      <c r="G24">
        <f t="shared" ref="G24:H24" si="1">SUM(C12:C24)</f>
        <v>195</v>
      </c>
      <c r="H24">
        <f t="shared" si="1"/>
        <v>53</v>
      </c>
    </row>
    <row r="25" spans="1:17" x14ac:dyDescent="0.25">
      <c r="A25" s="5">
        <v>19</v>
      </c>
      <c r="B25" s="19">
        <v>40</v>
      </c>
      <c r="C25" s="5">
        <v>34</v>
      </c>
      <c r="D25" s="9">
        <v>13</v>
      </c>
    </row>
    <row r="26" spans="1:17" x14ac:dyDescent="0.25">
      <c r="A26" s="5">
        <v>19</v>
      </c>
      <c r="B26" s="19">
        <v>31</v>
      </c>
      <c r="C26" s="5">
        <v>10</v>
      </c>
      <c r="D26" s="9">
        <v>6</v>
      </c>
    </row>
    <row r="27" spans="1:17" x14ac:dyDescent="0.25">
      <c r="A27" s="3">
        <v>19</v>
      </c>
      <c r="B27" s="20">
        <v>4</v>
      </c>
      <c r="C27" s="3">
        <v>4</v>
      </c>
      <c r="D27" s="3">
        <v>0</v>
      </c>
    </row>
    <row r="28" spans="1:17" x14ac:dyDescent="0.25">
      <c r="A28" s="5">
        <v>20</v>
      </c>
      <c r="B28" s="22">
        <v>0</v>
      </c>
      <c r="C28" s="5"/>
      <c r="D28" s="5">
        <v>0</v>
      </c>
    </row>
    <row r="29" spans="1:17" x14ac:dyDescent="0.25">
      <c r="A29" s="3">
        <v>20</v>
      </c>
      <c r="B29" s="21">
        <v>0</v>
      </c>
      <c r="C29" s="3"/>
      <c r="D29" s="3">
        <v>0</v>
      </c>
    </row>
    <row r="30" spans="1:17" x14ac:dyDescent="0.25">
      <c r="A30" s="3">
        <v>20</v>
      </c>
      <c r="B30" s="20">
        <v>24</v>
      </c>
      <c r="C30" s="3">
        <v>13</v>
      </c>
      <c r="D30" s="42">
        <v>1</v>
      </c>
    </row>
    <row r="31" spans="1:17" x14ac:dyDescent="0.25">
      <c r="A31" s="5">
        <v>20</v>
      </c>
      <c r="B31" s="25">
        <v>0</v>
      </c>
      <c r="C31" s="5"/>
      <c r="D31" s="5">
        <v>0</v>
      </c>
    </row>
    <row r="32" spans="1:17" x14ac:dyDescent="0.25">
      <c r="A32" s="3">
        <v>20</v>
      </c>
      <c r="B32" s="20">
        <v>30</v>
      </c>
      <c r="C32" s="3">
        <v>27</v>
      </c>
      <c r="D32" s="9">
        <v>3</v>
      </c>
    </row>
    <row r="33" spans="1:8" x14ac:dyDescent="0.25">
      <c r="A33" s="5">
        <v>20</v>
      </c>
      <c r="B33" s="19">
        <v>17</v>
      </c>
      <c r="C33" s="5">
        <v>13</v>
      </c>
      <c r="D33" s="42">
        <v>1</v>
      </c>
    </row>
    <row r="34" spans="1:8" x14ac:dyDescent="0.25">
      <c r="A34" s="3">
        <v>20</v>
      </c>
      <c r="B34" s="20">
        <v>31</v>
      </c>
      <c r="C34" s="3">
        <v>30</v>
      </c>
      <c r="D34" s="9">
        <v>3</v>
      </c>
    </row>
    <row r="35" spans="1:8" x14ac:dyDescent="0.25">
      <c r="A35" s="3">
        <v>20</v>
      </c>
      <c r="B35" s="21">
        <v>0</v>
      </c>
      <c r="C35" s="3"/>
      <c r="D35" s="3">
        <v>0</v>
      </c>
      <c r="E35" t="s">
        <v>284</v>
      </c>
      <c r="F35" t="s">
        <v>280</v>
      </c>
      <c r="G35" t="s">
        <v>281</v>
      </c>
      <c r="H35" t="s">
        <v>282</v>
      </c>
    </row>
    <row r="36" spans="1:8" x14ac:dyDescent="0.25">
      <c r="A36" s="3">
        <v>20</v>
      </c>
      <c r="B36" s="20">
        <v>1</v>
      </c>
      <c r="C36" s="3"/>
      <c r="D36" s="3">
        <v>0</v>
      </c>
      <c r="E36" t="s">
        <v>279</v>
      </c>
      <c r="F36">
        <f>SUM(B25:B36)</f>
        <v>178</v>
      </c>
      <c r="G36">
        <f t="shared" ref="G36:H36" si="2">SUM(C25:C36)</f>
        <v>131</v>
      </c>
      <c r="H36">
        <f t="shared" si="2"/>
        <v>27</v>
      </c>
    </row>
    <row r="37" spans="1:8" x14ac:dyDescent="0.25">
      <c r="A37" s="3">
        <v>21</v>
      </c>
      <c r="B37" s="20">
        <v>21</v>
      </c>
      <c r="C37" s="3">
        <v>6</v>
      </c>
      <c r="D37" s="4">
        <v>2</v>
      </c>
    </row>
    <row r="38" spans="1:8" x14ac:dyDescent="0.25">
      <c r="A38" s="3">
        <v>21</v>
      </c>
      <c r="B38" s="20">
        <v>13</v>
      </c>
      <c r="C38" s="3">
        <v>8</v>
      </c>
      <c r="D38" s="3">
        <v>0</v>
      </c>
    </row>
    <row r="39" spans="1:8" x14ac:dyDescent="0.25">
      <c r="A39" s="5">
        <v>21</v>
      </c>
      <c r="B39" s="19">
        <v>30</v>
      </c>
      <c r="C39" s="5">
        <v>20</v>
      </c>
      <c r="D39" s="9">
        <v>12</v>
      </c>
    </row>
    <row r="40" spans="1:8" x14ac:dyDescent="0.25">
      <c r="A40" s="3">
        <v>21</v>
      </c>
      <c r="B40" s="20">
        <v>28</v>
      </c>
      <c r="C40" s="3">
        <v>25</v>
      </c>
      <c r="D40" s="4">
        <v>8</v>
      </c>
    </row>
    <row r="41" spans="1:8" x14ac:dyDescent="0.25">
      <c r="A41" s="5">
        <v>21</v>
      </c>
      <c r="B41" s="19">
        <v>32</v>
      </c>
      <c r="C41" s="5">
        <v>19</v>
      </c>
      <c r="D41" s="9">
        <v>3</v>
      </c>
    </row>
    <row r="42" spans="1:8" x14ac:dyDescent="0.25">
      <c r="A42" s="3">
        <v>21</v>
      </c>
      <c r="B42" s="20">
        <v>30</v>
      </c>
      <c r="C42" s="3">
        <v>21</v>
      </c>
      <c r="D42" s="4">
        <v>4</v>
      </c>
    </row>
    <row r="43" spans="1:8" x14ac:dyDescent="0.25">
      <c r="A43" s="5">
        <v>21</v>
      </c>
      <c r="B43" s="22">
        <v>0</v>
      </c>
      <c r="C43" s="5"/>
      <c r="D43" s="5">
        <v>0</v>
      </c>
    </row>
    <row r="44" spans="1:8" x14ac:dyDescent="0.25">
      <c r="A44" s="5">
        <v>21</v>
      </c>
      <c r="B44" s="22">
        <v>0</v>
      </c>
      <c r="C44" s="5"/>
      <c r="D44" s="5">
        <v>0</v>
      </c>
    </row>
    <row r="45" spans="1:8" x14ac:dyDescent="0.25">
      <c r="A45" s="5">
        <v>21</v>
      </c>
      <c r="B45" s="19">
        <v>5</v>
      </c>
      <c r="C45" s="5">
        <v>5</v>
      </c>
      <c r="D45" s="42">
        <v>2</v>
      </c>
    </row>
    <row r="46" spans="1:8" x14ac:dyDescent="0.25">
      <c r="A46" s="5">
        <v>21</v>
      </c>
      <c r="B46" s="25">
        <v>16</v>
      </c>
      <c r="C46" s="5">
        <v>10</v>
      </c>
      <c r="D46" s="9">
        <v>10</v>
      </c>
    </row>
    <row r="47" spans="1:8" x14ac:dyDescent="0.25">
      <c r="A47" s="5">
        <v>21</v>
      </c>
      <c r="B47" s="19">
        <v>7</v>
      </c>
      <c r="C47" s="5"/>
      <c r="D47" s="5">
        <v>0</v>
      </c>
    </row>
    <row r="48" spans="1:8" x14ac:dyDescent="0.25">
      <c r="A48" s="5">
        <v>22</v>
      </c>
      <c r="B48" s="25">
        <v>0</v>
      </c>
      <c r="C48" s="5"/>
      <c r="D48" s="5">
        <v>0</v>
      </c>
    </row>
    <row r="49" spans="1:8" x14ac:dyDescent="0.25">
      <c r="A49" s="3">
        <v>22</v>
      </c>
      <c r="B49" s="26">
        <v>0</v>
      </c>
      <c r="C49" s="3"/>
      <c r="D49" s="3">
        <v>0</v>
      </c>
    </row>
    <row r="50" spans="1:8" x14ac:dyDescent="0.25">
      <c r="A50" s="5">
        <v>22</v>
      </c>
      <c r="B50" s="19">
        <v>11</v>
      </c>
      <c r="C50" s="5">
        <v>9</v>
      </c>
      <c r="D50" s="42">
        <v>1</v>
      </c>
    </row>
    <row r="51" spans="1:8" x14ac:dyDescent="0.25">
      <c r="A51" s="3">
        <v>22</v>
      </c>
      <c r="B51" s="20">
        <v>34</v>
      </c>
      <c r="C51" s="3">
        <v>29</v>
      </c>
      <c r="D51" s="4">
        <v>4</v>
      </c>
    </row>
    <row r="52" spans="1:8" x14ac:dyDescent="0.25">
      <c r="A52" s="5">
        <v>22</v>
      </c>
      <c r="B52" s="19">
        <v>14</v>
      </c>
      <c r="C52" s="5">
        <v>13</v>
      </c>
      <c r="D52" s="9">
        <v>7</v>
      </c>
    </row>
    <row r="53" spans="1:8" x14ac:dyDescent="0.25">
      <c r="A53" s="5">
        <v>22</v>
      </c>
      <c r="B53" s="19">
        <v>7</v>
      </c>
      <c r="C53" s="5">
        <v>4</v>
      </c>
      <c r="D53" s="42">
        <v>1</v>
      </c>
    </row>
    <row r="54" spans="1:8" x14ac:dyDescent="0.25">
      <c r="A54" s="3">
        <v>22</v>
      </c>
      <c r="B54" s="26">
        <v>0</v>
      </c>
      <c r="C54" s="3"/>
      <c r="D54" s="3">
        <v>0</v>
      </c>
      <c r="E54" t="s">
        <v>284</v>
      </c>
      <c r="F54" t="s">
        <v>280</v>
      </c>
      <c r="G54" t="s">
        <v>281</v>
      </c>
      <c r="H54" t="s">
        <v>282</v>
      </c>
    </row>
    <row r="55" spans="1:8" x14ac:dyDescent="0.25">
      <c r="A55" s="3">
        <v>22</v>
      </c>
      <c r="B55" s="20">
        <v>7</v>
      </c>
      <c r="C55" s="3">
        <v>4</v>
      </c>
      <c r="D55" s="4">
        <v>4</v>
      </c>
      <c r="E55" t="s">
        <v>279</v>
      </c>
      <c r="F55">
        <f>SUM(B37:B55)</f>
        <v>255</v>
      </c>
      <c r="G55">
        <f t="shared" ref="G55:H55" si="3">SUM(C37:C55)</f>
        <v>173</v>
      </c>
      <c r="H55">
        <f t="shared" si="3"/>
        <v>58</v>
      </c>
    </row>
    <row r="56" spans="1:8" x14ac:dyDescent="0.25">
      <c r="A56" s="5">
        <v>23</v>
      </c>
      <c r="B56" s="25">
        <v>0</v>
      </c>
      <c r="C56" s="5"/>
      <c r="D56" s="5">
        <v>0</v>
      </c>
    </row>
    <row r="57" spans="1:8" x14ac:dyDescent="0.25">
      <c r="A57" s="3">
        <v>23</v>
      </c>
      <c r="B57" s="26">
        <v>0</v>
      </c>
      <c r="C57" s="3"/>
      <c r="D57" s="3">
        <v>0</v>
      </c>
    </row>
    <row r="58" spans="1:8" x14ac:dyDescent="0.25">
      <c r="A58" s="3">
        <v>23</v>
      </c>
      <c r="B58" s="20">
        <v>6</v>
      </c>
      <c r="C58" s="3">
        <v>6</v>
      </c>
      <c r="D58" s="3">
        <v>0</v>
      </c>
    </row>
    <row r="59" spans="1:8" x14ac:dyDescent="0.25">
      <c r="A59" s="5">
        <v>23</v>
      </c>
      <c r="B59" s="19">
        <v>17</v>
      </c>
      <c r="C59" s="5">
        <v>7</v>
      </c>
      <c r="D59" s="9">
        <v>1</v>
      </c>
    </row>
    <row r="60" spans="1:8" x14ac:dyDescent="0.25">
      <c r="A60" s="3">
        <v>23</v>
      </c>
      <c r="B60" s="26">
        <v>0</v>
      </c>
      <c r="C60" s="3"/>
      <c r="D60" s="3">
        <v>0</v>
      </c>
    </row>
    <row r="61" spans="1:8" x14ac:dyDescent="0.25">
      <c r="A61" s="3">
        <v>23</v>
      </c>
      <c r="B61" s="20">
        <v>26</v>
      </c>
      <c r="C61" s="3">
        <v>23</v>
      </c>
      <c r="D61" s="4">
        <v>4</v>
      </c>
    </row>
    <row r="62" spans="1:8" x14ac:dyDescent="0.25">
      <c r="A62" s="5">
        <v>23</v>
      </c>
      <c r="B62" s="19">
        <v>20</v>
      </c>
      <c r="C62" s="5">
        <v>17</v>
      </c>
      <c r="D62" s="42">
        <v>2</v>
      </c>
    </row>
    <row r="63" spans="1:8" x14ac:dyDescent="0.25">
      <c r="A63" s="5">
        <v>23</v>
      </c>
      <c r="B63" s="19">
        <v>3</v>
      </c>
      <c r="C63" s="5">
        <v>1</v>
      </c>
      <c r="D63" s="5">
        <v>0</v>
      </c>
    </row>
    <row r="64" spans="1:8" x14ac:dyDescent="0.25">
      <c r="A64" s="3">
        <v>23</v>
      </c>
      <c r="B64" s="21">
        <v>0</v>
      </c>
      <c r="C64" s="3"/>
      <c r="D64" s="3">
        <v>0</v>
      </c>
    </row>
    <row r="65" spans="1:8" x14ac:dyDescent="0.25">
      <c r="A65" s="5">
        <v>24</v>
      </c>
      <c r="B65" s="19">
        <v>7</v>
      </c>
      <c r="C65" s="5">
        <v>5</v>
      </c>
      <c r="D65" s="9">
        <v>4</v>
      </c>
    </row>
    <row r="66" spans="1:8" x14ac:dyDescent="0.25">
      <c r="A66" s="5">
        <v>24</v>
      </c>
      <c r="B66" s="25">
        <v>0</v>
      </c>
      <c r="C66" s="5"/>
      <c r="D66" s="5">
        <v>0</v>
      </c>
    </row>
    <row r="67" spans="1:8" x14ac:dyDescent="0.25">
      <c r="A67" s="5">
        <v>24</v>
      </c>
      <c r="B67" s="19">
        <v>5</v>
      </c>
      <c r="C67" s="5">
        <v>2</v>
      </c>
      <c r="D67" s="5">
        <v>0</v>
      </c>
    </row>
    <row r="68" spans="1:8" x14ac:dyDescent="0.25">
      <c r="A68" s="3">
        <v>24</v>
      </c>
      <c r="B68" s="20">
        <v>25</v>
      </c>
      <c r="C68" s="3">
        <v>24</v>
      </c>
      <c r="D68" s="42">
        <v>1</v>
      </c>
    </row>
    <row r="69" spans="1:8" x14ac:dyDescent="0.25">
      <c r="A69" s="5">
        <v>24</v>
      </c>
      <c r="B69" s="19">
        <v>18</v>
      </c>
      <c r="C69" s="5">
        <v>12</v>
      </c>
      <c r="D69" s="9">
        <v>9</v>
      </c>
    </row>
    <row r="70" spans="1:8" x14ac:dyDescent="0.25">
      <c r="A70" s="3">
        <v>24</v>
      </c>
      <c r="B70" s="20">
        <v>5</v>
      </c>
      <c r="C70" s="3">
        <v>3</v>
      </c>
      <c r="D70" s="3">
        <v>0</v>
      </c>
    </row>
    <row r="71" spans="1:8" x14ac:dyDescent="0.25">
      <c r="A71" s="5">
        <v>24</v>
      </c>
      <c r="B71" s="19">
        <v>9</v>
      </c>
      <c r="C71" s="5">
        <v>3</v>
      </c>
      <c r="D71" s="42">
        <v>1</v>
      </c>
      <c r="E71" t="s">
        <v>285</v>
      </c>
      <c r="F71" t="s">
        <v>280</v>
      </c>
      <c r="G71" t="s">
        <v>281</v>
      </c>
      <c r="H71" t="s">
        <v>282</v>
      </c>
    </row>
    <row r="72" spans="1:8" x14ac:dyDescent="0.25">
      <c r="A72" s="5">
        <v>24</v>
      </c>
      <c r="B72" s="22">
        <v>0</v>
      </c>
      <c r="C72" s="5"/>
      <c r="D72" s="5">
        <v>0</v>
      </c>
      <c r="E72" t="s">
        <v>279</v>
      </c>
      <c r="F72">
        <f>SUM(B56:B72)</f>
        <v>141</v>
      </c>
      <c r="G72">
        <f t="shared" ref="G72:H72" si="4">SUM(C56:C72)</f>
        <v>103</v>
      </c>
      <c r="H72">
        <f t="shared" si="4"/>
        <v>22</v>
      </c>
    </row>
    <row r="73" spans="1:8" x14ac:dyDescent="0.25">
      <c r="A73" s="3">
        <v>25</v>
      </c>
      <c r="B73" s="20">
        <v>55</v>
      </c>
      <c r="C73" s="3">
        <v>35</v>
      </c>
      <c r="D73" s="4">
        <v>24</v>
      </c>
    </row>
    <row r="74" spans="1:8" x14ac:dyDescent="0.25">
      <c r="A74" s="3">
        <v>25</v>
      </c>
      <c r="B74" s="20">
        <v>15</v>
      </c>
      <c r="C74" s="3">
        <v>12</v>
      </c>
      <c r="D74" s="4">
        <v>2</v>
      </c>
    </row>
    <row r="75" spans="1:8" x14ac:dyDescent="0.25">
      <c r="A75" s="3">
        <v>25</v>
      </c>
      <c r="B75" s="20">
        <v>11</v>
      </c>
      <c r="C75" s="3">
        <v>3</v>
      </c>
      <c r="D75" s="42">
        <v>1</v>
      </c>
    </row>
    <row r="76" spans="1:8" x14ac:dyDescent="0.25">
      <c r="A76" s="3">
        <v>25</v>
      </c>
      <c r="B76" s="21">
        <v>0</v>
      </c>
      <c r="C76" s="3"/>
      <c r="D76" s="3">
        <v>0</v>
      </c>
      <c r="E76">
        <v>25</v>
      </c>
      <c r="F76" t="s">
        <v>280</v>
      </c>
      <c r="G76" t="s">
        <v>281</v>
      </c>
      <c r="H76" t="s">
        <v>282</v>
      </c>
    </row>
    <row r="77" spans="1:8" x14ac:dyDescent="0.25">
      <c r="A77" s="5">
        <v>60</v>
      </c>
      <c r="B77" s="22">
        <v>0</v>
      </c>
      <c r="C77" s="5"/>
      <c r="D77" s="5">
        <v>0</v>
      </c>
      <c r="E77" t="s">
        <v>279</v>
      </c>
      <c r="F77">
        <f>SUM(B73:B77)</f>
        <v>81</v>
      </c>
      <c r="G77">
        <f t="shared" ref="G77:H77" si="5">SUM(C73:C77)</f>
        <v>50</v>
      </c>
      <c r="H77">
        <f t="shared" si="5"/>
        <v>27</v>
      </c>
    </row>
    <row r="78" spans="1:8" x14ac:dyDescent="0.25">
      <c r="A78" s="3">
        <v>60</v>
      </c>
      <c r="B78" s="21">
        <v>0</v>
      </c>
      <c r="C78" s="3"/>
      <c r="D78" s="3">
        <v>0</v>
      </c>
    </row>
    <row r="79" spans="1:8" x14ac:dyDescent="0.25">
      <c r="A79" s="5">
        <v>60</v>
      </c>
      <c r="B79" s="22">
        <v>0</v>
      </c>
      <c r="C79" s="5"/>
      <c r="D79" s="5">
        <v>0</v>
      </c>
    </row>
    <row r="80" spans="1:8" x14ac:dyDescent="0.25">
      <c r="A80" s="3">
        <v>60</v>
      </c>
      <c r="B80" s="21">
        <v>0</v>
      </c>
      <c r="C80" s="3"/>
      <c r="D80" s="3">
        <v>0</v>
      </c>
    </row>
  </sheetData>
  <sortState xmlns:xlrd2="http://schemas.microsoft.com/office/spreadsheetml/2017/richdata2" ref="A2:D92">
    <sortCondition ref="A2:A9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F96B-CB33-49DF-BB1D-0B66834F01E8}">
  <sheetPr codeName="Feuil3"/>
  <dimension ref="A1:V72"/>
  <sheetViews>
    <sheetView topLeftCell="A28" workbookViewId="0">
      <selection sqref="A1:F59"/>
    </sheetView>
  </sheetViews>
  <sheetFormatPr baseColWidth="10" defaultRowHeight="15" x14ac:dyDescent="0.25"/>
  <cols>
    <col min="8" max="8" width="21.42578125" bestFit="1" customWidth="1"/>
    <col min="9" max="9" width="22.85546875" bestFit="1" customWidth="1"/>
    <col min="13" max="13" width="21.42578125" bestFit="1" customWidth="1"/>
    <col min="14" max="14" width="17.7109375" bestFit="1" customWidth="1"/>
    <col min="15" max="15" width="28.42578125" bestFit="1" customWidth="1"/>
    <col min="16" max="16" width="21.42578125" bestFit="1" customWidth="1"/>
    <col min="17" max="17" width="35.42578125" bestFit="1" customWidth="1"/>
  </cols>
  <sheetData>
    <row r="1" spans="1:17" x14ac:dyDescent="0.25">
      <c r="A1" t="s">
        <v>1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</row>
    <row r="2" spans="1:17" x14ac:dyDescent="0.25">
      <c r="A2">
        <v>15</v>
      </c>
      <c r="B2" t="s">
        <v>295</v>
      </c>
      <c r="C2">
        <v>-0.22885953776158646</v>
      </c>
      <c r="D2">
        <v>25.592116967696331</v>
      </c>
      <c r="E2">
        <v>59.092269754095746</v>
      </c>
      <c r="F2">
        <v>36.543065231531351</v>
      </c>
    </row>
    <row r="3" spans="1:17" x14ac:dyDescent="0.25">
      <c r="A3">
        <v>15</v>
      </c>
      <c r="B3" t="s">
        <v>296</v>
      </c>
      <c r="C3">
        <v>3.4473917509667808E-2</v>
      </c>
      <c r="D3">
        <v>10.372356948285391</v>
      </c>
      <c r="E3">
        <v>35.433934751442358</v>
      </c>
      <c r="F3">
        <v>12.716400029433748</v>
      </c>
    </row>
    <row r="4" spans="1:17" x14ac:dyDescent="0.25">
      <c r="A4">
        <v>15</v>
      </c>
      <c r="B4" t="s">
        <v>77</v>
      </c>
      <c r="C4">
        <v>-0.1490333857190165</v>
      </c>
      <c r="D4">
        <v>26.551656838725528</v>
      </c>
      <c r="E4">
        <v>56.533068918077298</v>
      </c>
      <c r="F4">
        <v>33.497952589153428</v>
      </c>
    </row>
    <row r="5" spans="1:17" x14ac:dyDescent="0.25">
      <c r="A5">
        <v>16</v>
      </c>
      <c r="B5" t="s">
        <v>297</v>
      </c>
      <c r="C5">
        <v>8.378127793596514E-2</v>
      </c>
      <c r="D5">
        <v>13.954813471351004</v>
      </c>
      <c r="E5">
        <v>42.939034289589124</v>
      </c>
      <c r="F5">
        <v>19.034159337357391</v>
      </c>
    </row>
    <row r="6" spans="1:17" x14ac:dyDescent="0.25">
      <c r="A6">
        <v>16</v>
      </c>
      <c r="B6" t="s">
        <v>298</v>
      </c>
      <c r="C6">
        <v>-8.813571851600123E-2</v>
      </c>
      <c r="D6">
        <v>21.485772820725302</v>
      </c>
      <c r="E6">
        <v>61.562543994017169</v>
      </c>
      <c r="F6">
        <v>27.939915855218779</v>
      </c>
    </row>
    <row r="7" spans="1:17" x14ac:dyDescent="0.25">
      <c r="A7">
        <v>16</v>
      </c>
      <c r="B7" t="s">
        <v>58</v>
      </c>
      <c r="C7">
        <v>1.9556189984756826E-2</v>
      </c>
      <c r="D7">
        <v>17.093881495422313</v>
      </c>
      <c r="E7">
        <v>41.913935363935614</v>
      </c>
      <c r="F7">
        <v>20.956127834855597</v>
      </c>
    </row>
    <row r="8" spans="1:17" x14ac:dyDescent="0.25">
      <c r="A8">
        <v>16</v>
      </c>
      <c r="B8" t="s">
        <v>78</v>
      </c>
      <c r="C8">
        <v>2.2863832504437173E-2</v>
      </c>
      <c r="D8">
        <v>5.9979068136665346</v>
      </c>
      <c r="E8">
        <v>21.667249705051979</v>
      </c>
      <c r="F8">
        <v>8.832542081986114</v>
      </c>
      <c r="H8" s="39" t="s">
        <v>329</v>
      </c>
      <c r="I8" t="s">
        <v>362</v>
      </c>
      <c r="M8" s="39" t="s">
        <v>329</v>
      </c>
      <c r="N8" t="s">
        <v>331</v>
      </c>
      <c r="P8" s="39" t="s">
        <v>329</v>
      </c>
      <c r="Q8" t="s">
        <v>332</v>
      </c>
    </row>
    <row r="9" spans="1:17" x14ac:dyDescent="0.25">
      <c r="A9">
        <v>17</v>
      </c>
      <c r="B9" t="s">
        <v>299</v>
      </c>
      <c r="C9" s="24">
        <v>5.5036269897026452E-2</v>
      </c>
      <c r="D9">
        <v>19.6446380739003</v>
      </c>
      <c r="E9">
        <v>57.556695667570416</v>
      </c>
      <c r="F9">
        <v>22.782185921474575</v>
      </c>
      <c r="H9" s="40">
        <v>15</v>
      </c>
      <c r="I9">
        <v>9.0768162255766658</v>
      </c>
      <c r="M9" s="40">
        <v>15</v>
      </c>
      <c r="N9">
        <v>20.838710251569083</v>
      </c>
      <c r="P9" s="40">
        <v>15</v>
      </c>
      <c r="Q9">
        <v>27.585805950039511</v>
      </c>
    </row>
    <row r="10" spans="1:17" x14ac:dyDescent="0.25">
      <c r="A10">
        <v>17</v>
      </c>
      <c r="B10" t="s">
        <v>300</v>
      </c>
      <c r="C10">
        <v>8.9386600575477419E-3</v>
      </c>
      <c r="D10">
        <v>9.8833322424756886</v>
      </c>
      <c r="E10">
        <v>29.799519548066808</v>
      </c>
      <c r="F10">
        <v>12.987609904309352</v>
      </c>
      <c r="H10" s="40">
        <v>16</v>
      </c>
      <c r="I10">
        <v>6.5330239128141807</v>
      </c>
      <c r="M10" s="40">
        <v>16</v>
      </c>
      <c r="N10">
        <v>14.633093650291286</v>
      </c>
      <c r="P10" s="40">
        <v>16</v>
      </c>
      <c r="Q10">
        <v>19.19068627735447</v>
      </c>
    </row>
    <row r="11" spans="1:17" x14ac:dyDescent="0.25">
      <c r="A11">
        <v>17</v>
      </c>
      <c r="B11" t="s">
        <v>301</v>
      </c>
      <c r="C11">
        <v>3.6381642308106346E-3</v>
      </c>
      <c r="D11">
        <v>12.263204963828203</v>
      </c>
      <c r="E11">
        <v>41.299611394375916</v>
      </c>
      <c r="F11">
        <v>14.526786867109744</v>
      </c>
      <c r="H11" s="40">
        <v>17</v>
      </c>
      <c r="I11">
        <v>5.0574320436368829</v>
      </c>
      <c r="M11" s="40">
        <v>17</v>
      </c>
      <c r="N11">
        <v>10.472665911408054</v>
      </c>
      <c r="P11" s="40">
        <v>17</v>
      </c>
      <c r="Q11">
        <v>13.47488953525651</v>
      </c>
    </row>
    <row r="12" spans="1:17" x14ac:dyDescent="0.25">
      <c r="A12">
        <v>17</v>
      </c>
      <c r="B12" t="s">
        <v>59</v>
      </c>
      <c r="C12">
        <v>-0.10617855461353951</v>
      </c>
      <c r="D12">
        <v>5.3321141068119378</v>
      </c>
      <c r="E12">
        <v>23.6872908737671</v>
      </c>
      <c r="F12">
        <v>9.1106020296138386</v>
      </c>
      <c r="H12" s="40">
        <v>18</v>
      </c>
      <c r="I12">
        <v>7.1224322679381382</v>
      </c>
      <c r="M12" s="40">
        <v>18</v>
      </c>
      <c r="N12">
        <v>15.227747686656281</v>
      </c>
      <c r="P12" s="40">
        <v>18</v>
      </c>
      <c r="Q12">
        <v>21.636262111979111</v>
      </c>
    </row>
    <row r="13" spans="1:17" x14ac:dyDescent="0.25">
      <c r="A13">
        <v>17</v>
      </c>
      <c r="B13" t="s">
        <v>60</v>
      </c>
      <c r="C13">
        <v>-8.554458504876275E-2</v>
      </c>
      <c r="D13">
        <v>8.0733989212124815</v>
      </c>
      <c r="E13">
        <v>26.472029454509212</v>
      </c>
      <c r="F13">
        <v>11.021691090863273</v>
      </c>
      <c r="H13" s="40">
        <v>19</v>
      </c>
      <c r="I13">
        <v>7.9569693066369647</v>
      </c>
      <c r="M13" s="40">
        <v>19</v>
      </c>
      <c r="N13">
        <v>16.158157241835134</v>
      </c>
      <c r="P13" s="40">
        <v>19</v>
      </c>
      <c r="Q13">
        <v>20.893197097280787</v>
      </c>
    </row>
    <row r="14" spans="1:17" x14ac:dyDescent="0.25">
      <c r="A14">
        <v>17</v>
      </c>
      <c r="B14" t="s">
        <v>79</v>
      </c>
      <c r="C14">
        <v>1.7027722905454522E-2</v>
      </c>
      <c r="D14">
        <v>7.6393071602197127</v>
      </c>
      <c r="E14">
        <v>24.399903438981063</v>
      </c>
      <c r="F14">
        <v>10.420461398168289</v>
      </c>
      <c r="H14" s="40">
        <v>20</v>
      </c>
      <c r="I14">
        <v>6.0372262972653266</v>
      </c>
      <c r="M14" s="40">
        <v>20</v>
      </c>
      <c r="N14">
        <v>18.840472029530044</v>
      </c>
      <c r="P14" s="40">
        <v>20</v>
      </c>
      <c r="Q14">
        <v>25.724464545291344</v>
      </c>
    </row>
    <row r="15" spans="1:17" x14ac:dyDescent="0.25">
      <c r="A15">
        <v>18</v>
      </c>
      <c r="B15" t="s">
        <v>302</v>
      </c>
      <c r="C15" s="24">
        <v>-0.44704156317593485</v>
      </c>
      <c r="D15">
        <v>28.971361046500459</v>
      </c>
      <c r="E15">
        <v>68.423661825071264</v>
      </c>
      <c r="F15">
        <v>44.783903192115694</v>
      </c>
      <c r="H15" s="40">
        <v>21</v>
      </c>
      <c r="I15">
        <v>14.256323996064838</v>
      </c>
      <c r="M15" s="40">
        <v>21</v>
      </c>
      <c r="N15">
        <v>24.118915935312447</v>
      </c>
      <c r="P15" s="40">
        <v>21</v>
      </c>
      <c r="Q15">
        <v>32.05070730177853</v>
      </c>
    </row>
    <row r="16" spans="1:17" x14ac:dyDescent="0.25">
      <c r="A16">
        <v>18</v>
      </c>
      <c r="B16" t="s">
        <v>303</v>
      </c>
      <c r="C16">
        <v>4.4270517718510198E-2</v>
      </c>
      <c r="D16">
        <v>14.551810299119726</v>
      </c>
      <c r="E16">
        <v>42.117927283793158</v>
      </c>
      <c r="F16">
        <v>20.320974162023635</v>
      </c>
      <c r="H16" s="40">
        <v>22</v>
      </c>
      <c r="I16">
        <v>9.8990172831883676</v>
      </c>
      <c r="M16" s="40">
        <v>22</v>
      </c>
      <c r="N16">
        <v>22.187517994555872</v>
      </c>
      <c r="P16" s="40">
        <v>22</v>
      </c>
      <c r="Q16">
        <v>30.636438208583883</v>
      </c>
    </row>
    <row r="17" spans="1:17" x14ac:dyDescent="0.25">
      <c r="A17">
        <v>18</v>
      </c>
      <c r="B17" t="s">
        <v>304</v>
      </c>
      <c r="C17">
        <v>-1.3564220099507217E-2</v>
      </c>
      <c r="D17">
        <v>12.613989700057486</v>
      </c>
      <c r="E17">
        <v>35.644891323184851</v>
      </c>
      <c r="F17">
        <v>18.340842430890113</v>
      </c>
      <c r="H17" s="40">
        <v>23</v>
      </c>
      <c r="I17">
        <v>8.0298675510451663</v>
      </c>
      <c r="M17" s="40">
        <v>23</v>
      </c>
      <c r="N17">
        <v>20.949672780240341</v>
      </c>
      <c r="P17" s="40">
        <v>23</v>
      </c>
      <c r="Q17">
        <v>30.604929217701017</v>
      </c>
    </row>
    <row r="18" spans="1:17" x14ac:dyDescent="0.25">
      <c r="A18">
        <v>18</v>
      </c>
      <c r="B18" t="s">
        <v>61</v>
      </c>
      <c r="C18">
        <v>-8.5764815195359348E-2</v>
      </c>
      <c r="D18">
        <v>13.586049744304605</v>
      </c>
      <c r="E18">
        <v>42.311310724234389</v>
      </c>
      <c r="F18">
        <v>18.796428784919421</v>
      </c>
      <c r="H18" s="40">
        <v>24</v>
      </c>
      <c r="I18">
        <v>17.718793047225674</v>
      </c>
      <c r="M18" s="40">
        <v>24</v>
      </c>
      <c r="N18">
        <v>30.370314290541156</v>
      </c>
      <c r="P18" s="40">
        <v>24</v>
      </c>
      <c r="Q18">
        <v>41.416039830021738</v>
      </c>
    </row>
    <row r="19" spans="1:17" x14ac:dyDescent="0.25">
      <c r="A19">
        <v>18</v>
      </c>
      <c r="B19" t="s">
        <v>62</v>
      </c>
      <c r="C19">
        <v>9.0988465401887261E-3</v>
      </c>
      <c r="D19">
        <v>7.9979084350964635</v>
      </c>
      <c r="E19">
        <v>23.761591925116754</v>
      </c>
      <c r="F19">
        <v>10.949757290130783</v>
      </c>
      <c r="H19" s="40">
        <v>25</v>
      </c>
      <c r="I19">
        <v>17.022114364385512</v>
      </c>
      <c r="M19" s="40">
        <v>25</v>
      </c>
      <c r="N19">
        <v>27.786736156140616</v>
      </c>
      <c r="P19" s="40">
        <v>25</v>
      </c>
      <c r="Q19">
        <v>40.288256310354242</v>
      </c>
    </row>
    <row r="20" spans="1:17" x14ac:dyDescent="0.25">
      <c r="A20">
        <v>18</v>
      </c>
      <c r="B20" t="s">
        <v>80</v>
      </c>
      <c r="C20">
        <v>-3.3069746222187474E-2</v>
      </c>
      <c r="D20">
        <v>13.645366894858954</v>
      </c>
      <c r="E20">
        <v>40.478812052857002</v>
      </c>
      <c r="F20">
        <v>16.625666811795046</v>
      </c>
      <c r="H20" s="40" t="s">
        <v>330</v>
      </c>
      <c r="I20">
        <v>11.533797132449889</v>
      </c>
      <c r="M20" s="40" t="s">
        <v>330</v>
      </c>
      <c r="N20">
        <v>20.3691899358668</v>
      </c>
      <c r="P20" s="40" t="s">
        <v>330</v>
      </c>
      <c r="Q20">
        <v>27.826289787509104</v>
      </c>
    </row>
    <row r="21" spans="1:17" x14ac:dyDescent="0.25">
      <c r="A21">
        <v>19</v>
      </c>
      <c r="B21" t="s">
        <v>305</v>
      </c>
      <c r="C21">
        <v>-5.6513800461368745E-2</v>
      </c>
      <c r="D21">
        <v>14.962069265640082</v>
      </c>
      <c r="E21">
        <v>36.053703777708648</v>
      </c>
      <c r="F21">
        <v>21.513584023691923</v>
      </c>
    </row>
    <row r="22" spans="1:17" x14ac:dyDescent="0.25">
      <c r="A22">
        <v>19</v>
      </c>
      <c r="B22" t="s">
        <v>306</v>
      </c>
      <c r="C22">
        <v>-7.8642453516693453E-3</v>
      </c>
      <c r="D22">
        <v>24.645459161554875</v>
      </c>
      <c r="E22">
        <v>80.055661920168774</v>
      </c>
      <c r="F22">
        <v>29.346983930108859</v>
      </c>
    </row>
    <row r="23" spans="1:17" x14ac:dyDescent="0.25">
      <c r="A23">
        <v>19</v>
      </c>
      <c r="B23" t="s">
        <v>307</v>
      </c>
      <c r="C23">
        <v>1.7240023260925552E-2</v>
      </c>
      <c r="D23">
        <v>8.8669432983104439</v>
      </c>
      <c r="E23">
        <v>20.891309028195504</v>
      </c>
      <c r="F23">
        <v>11.819023338041571</v>
      </c>
    </row>
    <row r="24" spans="1:17" x14ac:dyDescent="0.25">
      <c r="A24">
        <v>20</v>
      </c>
      <c r="B24" t="s">
        <v>308</v>
      </c>
      <c r="C24">
        <v>-0.14322598590408364</v>
      </c>
      <c r="D24">
        <v>20.310387370960903</v>
      </c>
      <c r="E24">
        <v>40.754503480166967</v>
      </c>
      <c r="F24">
        <v>26.305501907545143</v>
      </c>
    </row>
    <row r="25" spans="1:17" x14ac:dyDescent="0.25">
      <c r="A25">
        <v>20</v>
      </c>
      <c r="B25" t="s">
        <v>309</v>
      </c>
      <c r="C25">
        <v>-8.1200535303512553E-2</v>
      </c>
      <c r="D25">
        <v>22.344104701841989</v>
      </c>
      <c r="E25">
        <v>74.440863540192211</v>
      </c>
      <c r="F25">
        <v>26.596247210036871</v>
      </c>
    </row>
    <row r="26" spans="1:17" x14ac:dyDescent="0.25">
      <c r="A26">
        <v>20</v>
      </c>
      <c r="B26" t="s">
        <v>310</v>
      </c>
      <c r="C26">
        <v>-0.2292373249006909</v>
      </c>
      <c r="D26">
        <v>27.800752239935292</v>
      </c>
      <c r="E26">
        <v>77.780956383091009</v>
      </c>
      <c r="F26">
        <v>35.688509060575754</v>
      </c>
    </row>
    <row r="27" spans="1:17" x14ac:dyDescent="0.25">
      <c r="A27">
        <v>20</v>
      </c>
      <c r="B27" t="s">
        <v>311</v>
      </c>
      <c r="C27">
        <v>-3.9873623657565313E-3</v>
      </c>
      <c r="D27">
        <v>10.911733923401478</v>
      </c>
      <c r="E27">
        <v>33.692572422297928</v>
      </c>
      <c r="F27">
        <v>15.084330807643788</v>
      </c>
      <c r="H27" s="39" t="s">
        <v>329</v>
      </c>
      <c r="I27" t="s">
        <v>363</v>
      </c>
    </row>
    <row r="28" spans="1:17" x14ac:dyDescent="0.25">
      <c r="A28">
        <v>20</v>
      </c>
      <c r="B28" t="s">
        <v>63</v>
      </c>
      <c r="C28">
        <v>-3.1178273752137341E-2</v>
      </c>
      <c r="D28">
        <v>17.65759050276624</v>
      </c>
      <c r="E28">
        <v>43.938117378009942</v>
      </c>
      <c r="F28">
        <v>26.480373933886973</v>
      </c>
      <c r="H28" s="40">
        <v>15</v>
      </c>
      <c r="I28">
        <v>12.966981224440861</v>
      </c>
    </row>
    <row r="29" spans="1:17" x14ac:dyDescent="0.25">
      <c r="A29">
        <v>20</v>
      </c>
      <c r="B29" t="s">
        <v>83</v>
      </c>
      <c r="C29">
        <v>-0.27764344401593932</v>
      </c>
      <c r="D29">
        <v>14.01826343827438</v>
      </c>
      <c r="E29">
        <v>38.342292461577742</v>
      </c>
      <c r="F29">
        <v>24.191824352059552</v>
      </c>
      <c r="H29" s="40">
        <v>16</v>
      </c>
      <c r="I29">
        <v>7.8947546711749474</v>
      </c>
    </row>
    <row r="30" spans="1:17" x14ac:dyDescent="0.25">
      <c r="A30">
        <v>21</v>
      </c>
      <c r="B30" t="s">
        <v>312</v>
      </c>
      <c r="C30">
        <v>-0.23772280694794945</v>
      </c>
      <c r="D30">
        <v>45.955059261694061</v>
      </c>
      <c r="E30">
        <v>94.561660287075114</v>
      </c>
      <c r="F30">
        <v>62.001390044175899</v>
      </c>
      <c r="H30" s="40">
        <v>17</v>
      </c>
      <c r="I30">
        <v>4.947007474029574</v>
      </c>
    </row>
    <row r="31" spans="1:17" x14ac:dyDescent="0.25">
      <c r="A31">
        <v>21</v>
      </c>
      <c r="B31" t="s">
        <v>313</v>
      </c>
      <c r="C31">
        <v>3.6780353555856508E-2</v>
      </c>
      <c r="D31">
        <v>24.19313048803739</v>
      </c>
      <c r="E31">
        <v>52.276349201475682</v>
      </c>
      <c r="F31">
        <v>30.58431136567312</v>
      </c>
      <c r="H31" s="40">
        <v>18</v>
      </c>
      <c r="I31">
        <v>11.796399151738866</v>
      </c>
    </row>
    <row r="32" spans="1:17" x14ac:dyDescent="0.25">
      <c r="A32">
        <v>21</v>
      </c>
      <c r="B32" t="s">
        <v>314</v>
      </c>
      <c r="C32">
        <v>-9.7683183414620525E-2</v>
      </c>
      <c r="D32">
        <v>15.569573764933663</v>
      </c>
      <c r="E32">
        <v>42.675139977601361</v>
      </c>
      <c r="F32">
        <v>21.881942349351281</v>
      </c>
      <c r="H32" s="40">
        <v>19</v>
      </c>
      <c r="I32">
        <v>8.7804333938087744</v>
      </c>
    </row>
    <row r="33" spans="1:14" x14ac:dyDescent="0.25">
      <c r="A33">
        <v>21</v>
      </c>
      <c r="B33" t="s">
        <v>315</v>
      </c>
      <c r="C33">
        <v>4.011041547066637E-2</v>
      </c>
      <c r="D33">
        <v>25.740769326699702</v>
      </c>
      <c r="E33">
        <v>83.788193197385468</v>
      </c>
      <c r="F33">
        <v>34.745124482471212</v>
      </c>
      <c r="H33" s="40">
        <v>20</v>
      </c>
      <c r="I33">
        <v>6.5804653855811459</v>
      </c>
    </row>
    <row r="34" spans="1:14" x14ac:dyDescent="0.25">
      <c r="A34">
        <v>21</v>
      </c>
      <c r="B34" t="s">
        <v>316</v>
      </c>
      <c r="C34">
        <v>-8.4031860051401258E-2</v>
      </c>
      <c r="D34">
        <v>36.880208896747341</v>
      </c>
      <c r="E34">
        <v>92.360954869444285</v>
      </c>
      <c r="F34">
        <v>50.697383580474593</v>
      </c>
      <c r="H34" s="40">
        <v>21</v>
      </c>
      <c r="I34">
        <v>18.974112293955194</v>
      </c>
    </row>
    <row r="35" spans="1:14" x14ac:dyDescent="0.25">
      <c r="A35">
        <v>21</v>
      </c>
      <c r="B35" t="s">
        <v>317</v>
      </c>
      <c r="C35">
        <v>-1.7713902441029258E-2</v>
      </c>
      <c r="D35">
        <v>14.127388125923829</v>
      </c>
      <c r="E35">
        <v>32.349863562066908</v>
      </c>
      <c r="F35">
        <v>19.672504505348666</v>
      </c>
      <c r="H35" s="40">
        <v>22</v>
      </c>
      <c r="I35">
        <v>14.043858060506528</v>
      </c>
    </row>
    <row r="36" spans="1:14" x14ac:dyDescent="0.25">
      <c r="A36">
        <v>21</v>
      </c>
      <c r="B36" t="s">
        <v>68</v>
      </c>
      <c r="C36">
        <v>-7.695666222998529E-2</v>
      </c>
      <c r="D36">
        <v>17.336925960684773</v>
      </c>
      <c r="E36">
        <v>46.538286374683416</v>
      </c>
      <c r="F36">
        <v>21.9879677482094</v>
      </c>
      <c r="H36" s="40">
        <v>23</v>
      </c>
      <c r="I36">
        <v>9.7879475911753939</v>
      </c>
    </row>
    <row r="37" spans="1:14" x14ac:dyDescent="0.25">
      <c r="A37">
        <v>21</v>
      </c>
      <c r="B37" t="s">
        <v>72</v>
      </c>
      <c r="C37">
        <v>-0.2130957987717364</v>
      </c>
      <c r="D37">
        <v>45.145370081683211</v>
      </c>
      <c r="E37">
        <v>106.60034411851169</v>
      </c>
      <c r="F37">
        <v>57.985234109051909</v>
      </c>
      <c r="H37" s="40">
        <v>24</v>
      </c>
      <c r="I37">
        <v>20.462635827866471</v>
      </c>
    </row>
    <row r="38" spans="1:14" x14ac:dyDescent="0.25">
      <c r="A38">
        <v>21</v>
      </c>
      <c r="B38" t="s">
        <v>82</v>
      </c>
      <c r="C38">
        <v>-4.0207084386024355E-2</v>
      </c>
      <c r="D38">
        <v>5.4798080690003372</v>
      </c>
      <c r="E38">
        <v>13.40010890290689</v>
      </c>
      <c r="F38">
        <v>6.9721563433798401</v>
      </c>
      <c r="H38" s="40">
        <v>25</v>
      </c>
      <c r="I38">
        <v>21.822498544576337</v>
      </c>
    </row>
    <row r="39" spans="1:14" x14ac:dyDescent="0.25">
      <c r="A39">
        <v>21</v>
      </c>
      <c r="B39" t="s">
        <v>84</v>
      </c>
      <c r="C39">
        <v>-2.2311714618806339E-2</v>
      </c>
      <c r="D39">
        <v>10.760925377720147</v>
      </c>
      <c r="E39">
        <v>30.76784893182667</v>
      </c>
      <c r="F39">
        <v>13.979058489649443</v>
      </c>
      <c r="H39" s="40" t="s">
        <v>330</v>
      </c>
      <c r="I39">
        <v>15.183644048748214</v>
      </c>
      <c r="M39" s="39" t="s">
        <v>329</v>
      </c>
      <c r="N39" t="s">
        <v>333</v>
      </c>
    </row>
    <row r="40" spans="1:14" x14ac:dyDescent="0.25">
      <c r="A40">
        <v>22</v>
      </c>
      <c r="B40" t="s">
        <v>318</v>
      </c>
      <c r="C40">
        <v>0.12864615404914156</v>
      </c>
      <c r="D40">
        <v>15.452016965719368</v>
      </c>
      <c r="E40">
        <v>35.051314197017966</v>
      </c>
      <c r="F40">
        <v>20.655468460749034</v>
      </c>
      <c r="M40" s="40">
        <v>15</v>
      </c>
      <c r="N40">
        <v>-0.11447300199031173</v>
      </c>
    </row>
    <row r="41" spans="1:14" x14ac:dyDescent="0.25">
      <c r="A41">
        <v>22</v>
      </c>
      <c r="B41" t="s">
        <v>319</v>
      </c>
      <c r="C41">
        <v>-3.014719712116784E-2</v>
      </c>
      <c r="D41">
        <v>15.032328166556502</v>
      </c>
      <c r="E41">
        <v>38.5035881373405</v>
      </c>
      <c r="F41">
        <v>20.513787991663698</v>
      </c>
      <c r="M41" s="40">
        <v>16</v>
      </c>
      <c r="N41">
        <v>9.5163954772894774E-3</v>
      </c>
    </row>
    <row r="42" spans="1:14" x14ac:dyDescent="0.25">
      <c r="A42">
        <v>22</v>
      </c>
      <c r="B42" t="s">
        <v>320</v>
      </c>
      <c r="C42">
        <v>0.265418978778104</v>
      </c>
      <c r="D42">
        <v>27.418886830753738</v>
      </c>
      <c r="E42">
        <v>61.836046241357721</v>
      </c>
      <c r="F42">
        <v>37.214478410918623</v>
      </c>
      <c r="M42" s="40">
        <v>17</v>
      </c>
      <c r="N42">
        <v>-1.7847053761910484E-2</v>
      </c>
    </row>
    <row r="43" spans="1:14" x14ac:dyDescent="0.25">
      <c r="A43">
        <v>22</v>
      </c>
      <c r="B43" t="s">
        <v>321</v>
      </c>
      <c r="C43">
        <v>-0.136010605899367</v>
      </c>
      <c r="D43">
        <v>16.868173095008856</v>
      </c>
      <c r="E43">
        <v>43.319078639382539</v>
      </c>
      <c r="F43">
        <v>25.62679296138052</v>
      </c>
      <c r="M43" s="40">
        <v>18</v>
      </c>
      <c r="N43">
        <v>-8.7678496739048317E-2</v>
      </c>
    </row>
    <row r="44" spans="1:14" x14ac:dyDescent="0.25">
      <c r="A44">
        <v>22</v>
      </c>
      <c r="B44" t="s">
        <v>69</v>
      </c>
      <c r="C44">
        <v>-0.16874631165226545</v>
      </c>
      <c r="D44">
        <v>18.221834663544659</v>
      </c>
      <c r="E44">
        <v>42.482004380515924</v>
      </c>
      <c r="F44">
        <v>23.412878830962487</v>
      </c>
      <c r="M44" s="40">
        <v>19</v>
      </c>
      <c r="N44">
        <v>-1.5712674184037514E-2</v>
      </c>
    </row>
    <row r="45" spans="1:14" x14ac:dyDescent="0.25">
      <c r="A45">
        <v>22</v>
      </c>
      <c r="B45" t="s">
        <v>73</v>
      </c>
      <c r="C45">
        <v>-6.1278766191605653E-2</v>
      </c>
      <c r="D45">
        <v>40.131868245752109</v>
      </c>
      <c r="E45">
        <v>102.99918799093082</v>
      </c>
      <c r="F45">
        <v>56.39522259582894</v>
      </c>
      <c r="M45" s="40">
        <v>20</v>
      </c>
      <c r="N45">
        <v>-0.12774548770702007</v>
      </c>
    </row>
    <row r="46" spans="1:14" x14ac:dyDescent="0.25">
      <c r="A46">
        <v>23</v>
      </c>
      <c r="B46" t="s">
        <v>322</v>
      </c>
      <c r="C46">
        <v>-9.1427266043963271E-2</v>
      </c>
      <c r="D46">
        <v>16.682930619228006</v>
      </c>
      <c r="E46">
        <v>60.895641289022983</v>
      </c>
      <c r="F46">
        <v>26.054506512503924</v>
      </c>
      <c r="M46" s="40">
        <v>21</v>
      </c>
      <c r="N46">
        <v>-7.1283224383502999E-2</v>
      </c>
    </row>
    <row r="47" spans="1:14" x14ac:dyDescent="0.25">
      <c r="A47">
        <v>23</v>
      </c>
      <c r="B47" t="s">
        <v>323</v>
      </c>
      <c r="C47">
        <v>-6.9114712241536716E-2</v>
      </c>
      <c r="D47">
        <v>17.821566728354046</v>
      </c>
      <c r="E47">
        <v>43.711127348271965</v>
      </c>
      <c r="F47">
        <v>29.200080838684073</v>
      </c>
      <c r="M47" s="40">
        <v>22</v>
      </c>
      <c r="N47">
        <v>-3.5295800619339693E-4</v>
      </c>
    </row>
    <row r="48" spans="1:14" x14ac:dyDescent="0.25">
      <c r="A48">
        <v>23</v>
      </c>
      <c r="B48" t="s">
        <v>65</v>
      </c>
      <c r="C48">
        <v>-9.96055012534348E-2</v>
      </c>
      <c r="D48">
        <v>12.029929189584383</v>
      </c>
      <c r="E48">
        <v>37.233746473337916</v>
      </c>
      <c r="F48">
        <v>18.813803714701994</v>
      </c>
      <c r="M48" s="40">
        <v>23</v>
      </c>
      <c r="N48">
        <v>-0.10900276495227976</v>
      </c>
    </row>
    <row r="49" spans="1:22" x14ac:dyDescent="0.25">
      <c r="A49">
        <v>23</v>
      </c>
      <c r="B49" t="s">
        <v>66</v>
      </c>
      <c r="C49">
        <v>-0.35723557014321439</v>
      </c>
      <c r="D49">
        <v>32.046371412807595</v>
      </c>
      <c r="E49">
        <v>83.058493940722698</v>
      </c>
      <c r="F49">
        <v>45.13665160702309</v>
      </c>
      <c r="M49" s="40">
        <v>24</v>
      </c>
      <c r="N49">
        <v>-0.15625302542102926</v>
      </c>
    </row>
    <row r="50" spans="1:22" x14ac:dyDescent="0.25">
      <c r="A50">
        <v>23</v>
      </c>
      <c r="B50" t="s">
        <v>74</v>
      </c>
      <c r="C50">
        <v>7.2369224920750416E-2</v>
      </c>
      <c r="D50">
        <v>26.167565951227672</v>
      </c>
      <c r="E50">
        <v>75.430555555545141</v>
      </c>
      <c r="F50">
        <v>33.819603415592006</v>
      </c>
      <c r="M50" s="40">
        <v>25</v>
      </c>
      <c r="N50">
        <v>-4.3477243085697996E-2</v>
      </c>
    </row>
    <row r="51" spans="1:22" x14ac:dyDescent="0.25">
      <c r="A51">
        <v>24</v>
      </c>
      <c r="B51" t="s">
        <v>324</v>
      </c>
      <c r="C51">
        <v>-0.22812256390814167</v>
      </c>
      <c r="D51">
        <v>46.849717154813334</v>
      </c>
      <c r="E51">
        <v>92.787604622005816</v>
      </c>
      <c r="F51">
        <v>63.276416417627736</v>
      </c>
      <c r="M51" s="40" t="s">
        <v>330</v>
      </c>
      <c r="N51">
        <v>-7.0345368522045176E-2</v>
      </c>
    </row>
    <row r="52" spans="1:22" x14ac:dyDescent="0.25">
      <c r="A52">
        <v>24</v>
      </c>
      <c r="B52" t="s">
        <v>325</v>
      </c>
      <c r="C52">
        <v>-0.13480490078300153</v>
      </c>
      <c r="D52">
        <v>15.974037665122681</v>
      </c>
      <c r="E52">
        <v>47.752145490051582</v>
      </c>
      <c r="F52">
        <v>23.763758443517617</v>
      </c>
    </row>
    <row r="53" spans="1:22" x14ac:dyDescent="0.25">
      <c r="A53">
        <v>24</v>
      </c>
      <c r="B53" t="s">
        <v>326</v>
      </c>
      <c r="C53">
        <v>-0.17744604977399725</v>
      </c>
      <c r="D53">
        <v>17.535500398878529</v>
      </c>
      <c r="E53">
        <v>57.327746798467004</v>
      </c>
      <c r="F53">
        <v>33.233039310648337</v>
      </c>
    </row>
    <row r="54" spans="1:22" x14ac:dyDescent="0.25">
      <c r="A54">
        <v>24</v>
      </c>
      <c r="B54" t="s">
        <v>70</v>
      </c>
      <c r="C54">
        <v>0.11983212724154699</v>
      </c>
      <c r="D54">
        <v>16.124112131652328</v>
      </c>
      <c r="E54">
        <v>36.77976919907902</v>
      </c>
      <c r="F54">
        <v>22.898115825730827</v>
      </c>
    </row>
    <row r="55" spans="1:22" x14ac:dyDescent="0.25">
      <c r="A55">
        <v>24</v>
      </c>
      <c r="B55" t="s">
        <v>75</v>
      </c>
      <c r="C55">
        <v>-0.14047017110441223</v>
      </c>
      <c r="D55">
        <v>28.537115869080679</v>
      </c>
      <c r="E55">
        <v>70.310813793531324</v>
      </c>
      <c r="F55">
        <v>34.756037624388597</v>
      </c>
    </row>
    <row r="56" spans="1:22" x14ac:dyDescent="0.25">
      <c r="A56">
        <v>24</v>
      </c>
      <c r="B56" t="s">
        <v>76</v>
      </c>
      <c r="C56">
        <v>-0.37650659419816984</v>
      </c>
      <c r="D56">
        <v>57.201402523699379</v>
      </c>
      <c r="E56">
        <v>134.87937167373053</v>
      </c>
      <c r="F56">
        <v>70.568871358217322</v>
      </c>
    </row>
    <row r="57" spans="1:22" x14ac:dyDescent="0.25">
      <c r="A57">
        <v>25</v>
      </c>
      <c r="B57" t="s">
        <v>327</v>
      </c>
      <c r="C57">
        <v>-6.8820197891604373E-2</v>
      </c>
      <c r="D57">
        <v>46.499304984798762</v>
      </c>
      <c r="E57">
        <v>92.462653776338726</v>
      </c>
      <c r="F57">
        <v>63.985180682331162</v>
      </c>
    </row>
    <row r="58" spans="1:22" x14ac:dyDescent="0.25">
      <c r="A58">
        <v>25</v>
      </c>
      <c r="B58" t="s">
        <v>328</v>
      </c>
      <c r="C58">
        <v>-6.6241234743033117E-2</v>
      </c>
      <c r="D58">
        <v>13.221593583945433</v>
      </c>
      <c r="E58">
        <v>32.312943528486642</v>
      </c>
      <c r="F58">
        <v>21.01933091715015</v>
      </c>
    </row>
    <row r="59" spans="1:22" x14ac:dyDescent="0.25">
      <c r="A59">
        <v>25</v>
      </c>
      <c r="B59" t="s">
        <v>67</v>
      </c>
      <c r="C59">
        <v>4.629703377543511E-3</v>
      </c>
      <c r="D59">
        <v>23.639309899677645</v>
      </c>
      <c r="E59">
        <v>54.708829365080646</v>
      </c>
      <c r="F59">
        <v>35.860257331581423</v>
      </c>
      <c r="L59">
        <v>15</v>
      </c>
      <c r="M59">
        <v>16</v>
      </c>
      <c r="N59">
        <v>17</v>
      </c>
      <c r="O59">
        <v>18</v>
      </c>
      <c r="P59">
        <v>19</v>
      </c>
      <c r="Q59">
        <v>20</v>
      </c>
      <c r="R59">
        <v>21</v>
      </c>
      <c r="S59">
        <v>22</v>
      </c>
      <c r="T59">
        <v>23</v>
      </c>
      <c r="U59">
        <v>24</v>
      </c>
      <c r="V59">
        <v>25</v>
      </c>
    </row>
    <row r="60" spans="1:22" x14ac:dyDescent="0.25">
      <c r="L60">
        <v>25.592116967696331</v>
      </c>
      <c r="M60">
        <v>13.954813471351004</v>
      </c>
      <c r="N60">
        <v>19.6446380739003</v>
      </c>
      <c r="O60">
        <v>28.971361046500459</v>
      </c>
      <c r="P60">
        <v>14.962069265640082</v>
      </c>
      <c r="Q60">
        <v>20.310387370960903</v>
      </c>
      <c r="R60">
        <v>45.955059261694061</v>
      </c>
      <c r="S60">
        <v>15.452016965719368</v>
      </c>
      <c r="T60">
        <v>16.682930619228006</v>
      </c>
      <c r="U60">
        <v>46.849717154813334</v>
      </c>
      <c r="V60">
        <v>46.499304984798762</v>
      </c>
    </row>
    <row r="61" spans="1:22" x14ac:dyDescent="0.25">
      <c r="L61">
        <v>10.372356948285391</v>
      </c>
      <c r="M61">
        <v>21.485772820725302</v>
      </c>
      <c r="N61">
        <v>9.8833322424756886</v>
      </c>
      <c r="O61">
        <v>14.551810299119726</v>
      </c>
      <c r="P61">
        <v>24.645459161554875</v>
      </c>
      <c r="Q61">
        <v>22.344104701841989</v>
      </c>
      <c r="R61">
        <v>24.19313048803739</v>
      </c>
      <c r="S61">
        <v>15.032328166556502</v>
      </c>
      <c r="T61">
        <v>17.821566728354046</v>
      </c>
      <c r="U61">
        <v>15.974037665122681</v>
      </c>
      <c r="V61">
        <v>13.221593583945433</v>
      </c>
    </row>
    <row r="62" spans="1:22" x14ac:dyDescent="0.25">
      <c r="A62">
        <v>15</v>
      </c>
      <c r="B62">
        <v>16</v>
      </c>
      <c r="C62">
        <v>17</v>
      </c>
      <c r="D62">
        <v>18</v>
      </c>
      <c r="E62">
        <v>19</v>
      </c>
      <c r="F62">
        <v>20</v>
      </c>
      <c r="G62">
        <v>21</v>
      </c>
      <c r="H62">
        <v>22</v>
      </c>
      <c r="I62">
        <v>23</v>
      </c>
      <c r="J62">
        <v>24</v>
      </c>
      <c r="K62">
        <v>25</v>
      </c>
      <c r="L62">
        <v>26.551656838725528</v>
      </c>
      <c r="M62">
        <v>17.093881495422313</v>
      </c>
      <c r="N62">
        <v>12.263204963828203</v>
      </c>
      <c r="O62">
        <v>12.613989700057486</v>
      </c>
      <c r="P62">
        <v>8.8669432983104439</v>
      </c>
      <c r="Q62">
        <v>27.800752239935292</v>
      </c>
      <c r="R62">
        <v>15.569573764933663</v>
      </c>
      <c r="S62">
        <v>27.418886830753738</v>
      </c>
      <c r="T62">
        <v>12.029929189584383</v>
      </c>
      <c r="U62">
        <v>17.535500398878529</v>
      </c>
      <c r="V62">
        <v>23.639309899677645</v>
      </c>
    </row>
    <row r="63" spans="1:22" x14ac:dyDescent="0.25">
      <c r="A63">
        <v>36.543065231531351</v>
      </c>
      <c r="B63">
        <v>19.034159337357391</v>
      </c>
      <c r="C63">
        <v>22.782185921474575</v>
      </c>
      <c r="D63">
        <v>44.783903192115694</v>
      </c>
      <c r="E63">
        <v>21.513584023691923</v>
      </c>
      <c r="F63">
        <v>26.305501907545143</v>
      </c>
      <c r="G63">
        <v>62.001390044175899</v>
      </c>
      <c r="H63">
        <v>20.655468460749034</v>
      </c>
      <c r="I63">
        <v>26.054506512503924</v>
      </c>
      <c r="J63">
        <v>63.276416417627736</v>
      </c>
      <c r="K63">
        <v>63.985180682331162</v>
      </c>
      <c r="M63">
        <v>5.9979068136665346</v>
      </c>
      <c r="N63">
        <v>5.3321141068119378</v>
      </c>
      <c r="O63">
        <v>13.586049744304605</v>
      </c>
      <c r="Q63">
        <v>10.911733923401478</v>
      </c>
      <c r="R63">
        <v>25.740769326699702</v>
      </c>
      <c r="S63">
        <v>16.868173095008856</v>
      </c>
      <c r="T63">
        <v>32.046371412807595</v>
      </c>
      <c r="U63">
        <v>16.124112131652328</v>
      </c>
    </row>
    <row r="64" spans="1:22" x14ac:dyDescent="0.25">
      <c r="A64">
        <v>12.716400029433748</v>
      </c>
      <c r="B64">
        <v>27.939915855218779</v>
      </c>
      <c r="C64">
        <v>12.987609904309352</v>
      </c>
      <c r="D64">
        <v>20.320974162023635</v>
      </c>
      <c r="E64">
        <v>29.346983930108859</v>
      </c>
      <c r="F64">
        <v>26.596247210036871</v>
      </c>
      <c r="G64">
        <v>30.58431136567312</v>
      </c>
      <c r="H64">
        <v>20.513787991663698</v>
      </c>
      <c r="I64">
        <v>29.200080838684073</v>
      </c>
      <c r="J64">
        <v>23.763758443517617</v>
      </c>
      <c r="K64">
        <v>21.01933091715015</v>
      </c>
      <c r="N64">
        <v>8.0733989212124815</v>
      </c>
      <c r="O64">
        <v>7.9979084350964635</v>
      </c>
      <c r="Q64">
        <v>17.65759050276624</v>
      </c>
      <c r="R64">
        <v>36.880208896747341</v>
      </c>
      <c r="S64">
        <v>18.221834663544659</v>
      </c>
      <c r="T64">
        <v>26.167565951227672</v>
      </c>
      <c r="U64">
        <v>28.537115869080679</v>
      </c>
    </row>
    <row r="65" spans="1:21" x14ac:dyDescent="0.25">
      <c r="A65">
        <v>33.497952589153428</v>
      </c>
      <c r="B65">
        <v>20.956127834855597</v>
      </c>
      <c r="C65">
        <v>14.526786867109744</v>
      </c>
      <c r="D65">
        <v>18.340842430890113</v>
      </c>
      <c r="E65">
        <v>11.819023338041571</v>
      </c>
      <c r="F65">
        <v>35.688509060575754</v>
      </c>
      <c r="G65">
        <v>21.881942349351281</v>
      </c>
      <c r="H65">
        <v>37.214478410918623</v>
      </c>
      <c r="I65">
        <v>18.813803714701994</v>
      </c>
      <c r="J65">
        <v>33.233039310648337</v>
      </c>
      <c r="K65">
        <v>35.860257331581423</v>
      </c>
      <c r="N65">
        <v>7.6393071602197127</v>
      </c>
      <c r="O65">
        <v>13.645366894858954</v>
      </c>
      <c r="Q65">
        <v>14.01826343827438</v>
      </c>
      <c r="R65">
        <v>14.127388125923829</v>
      </c>
      <c r="S65">
        <v>40.131868245752109</v>
      </c>
      <c r="U65">
        <v>57.201402523699379</v>
      </c>
    </row>
    <row r="66" spans="1:21" x14ac:dyDescent="0.25">
      <c r="B66">
        <v>8.832542081986114</v>
      </c>
      <c r="C66">
        <v>9.1106020296138386</v>
      </c>
      <c r="D66">
        <v>18.796428784919421</v>
      </c>
      <c r="F66">
        <v>15.084330807643788</v>
      </c>
      <c r="G66">
        <v>34.745124482471212</v>
      </c>
      <c r="H66">
        <v>25.62679296138052</v>
      </c>
      <c r="I66">
        <v>45.13665160702309</v>
      </c>
      <c r="J66">
        <v>22.898115825730827</v>
      </c>
      <c r="R66">
        <v>17.336925960684773</v>
      </c>
    </row>
    <row r="67" spans="1:21" x14ac:dyDescent="0.25">
      <c r="C67">
        <v>11.021691090863273</v>
      </c>
      <c r="D67">
        <v>10.949757290130783</v>
      </c>
      <c r="F67">
        <v>26.480373933886973</v>
      </c>
      <c r="G67">
        <v>50.697383580474593</v>
      </c>
      <c r="H67">
        <v>23.412878830962487</v>
      </c>
      <c r="I67">
        <v>33.819603415592006</v>
      </c>
      <c r="J67">
        <v>34.756037624388597</v>
      </c>
      <c r="R67">
        <v>45.145370081683211</v>
      </c>
    </row>
    <row r="68" spans="1:21" x14ac:dyDescent="0.25">
      <c r="C68">
        <v>10.420461398168289</v>
      </c>
      <c r="D68">
        <v>16.625666811795046</v>
      </c>
      <c r="F68">
        <v>24.191824352059552</v>
      </c>
      <c r="G68">
        <v>19.672504505348666</v>
      </c>
      <c r="H68">
        <v>56.39522259582894</v>
      </c>
      <c r="J68">
        <v>70.568871358217322</v>
      </c>
      <c r="R68">
        <v>5.4798080690003372</v>
      </c>
    </row>
    <row r="69" spans="1:21" x14ac:dyDescent="0.25">
      <c r="G69">
        <v>21.9879677482094</v>
      </c>
      <c r="R69">
        <v>10.760925377720147</v>
      </c>
    </row>
    <row r="70" spans="1:21" x14ac:dyDescent="0.25">
      <c r="G70">
        <v>57.985234109051909</v>
      </c>
    </row>
    <row r="71" spans="1:21" x14ac:dyDescent="0.25">
      <c r="G71">
        <v>6.9721563433798401</v>
      </c>
    </row>
    <row r="72" spans="1:21" x14ac:dyDescent="0.25">
      <c r="G72">
        <v>13.979058489649443</v>
      </c>
    </row>
  </sheetData>
  <conditionalFormatting sqref="A1:A5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2:A65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3:B6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5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{E7E2023F-4B8C-4AC8-BB7F-FF96BB81FA98}</x14:id>
        </ext>
      </extLst>
    </cfRule>
  </conditionalFormatting>
  <conditionalFormatting sqref="C63:C6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59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63:D68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3:E6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:F59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3:F68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3:G7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63:H6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63:I6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3:J6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9:K6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3:K6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59:L62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60:M63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60:N65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0:O65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60:P6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60:Q65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60:R69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60:S6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60:T64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60:U6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60:V6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verticalDpi="0" r:id="rId6"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E2023F-4B8C-4AC8-BB7F-FF96BB81FA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C1:C59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0F1D-66DA-4C83-9E8D-CC0E6BCCED63}">
  <dimension ref="A2:B8"/>
  <sheetViews>
    <sheetView workbookViewId="0">
      <selection activeCell="B2" sqref="B2:B8"/>
    </sheetView>
  </sheetViews>
  <sheetFormatPr baseColWidth="10" defaultRowHeight="15" x14ac:dyDescent="0.25"/>
  <sheetData>
    <row r="2" spans="1:2" x14ac:dyDescent="0.25">
      <c r="A2" t="s">
        <v>338</v>
      </c>
      <c r="B2" t="s">
        <v>339</v>
      </c>
    </row>
    <row r="3" spans="1:2" x14ac:dyDescent="0.25">
      <c r="A3">
        <v>0.33333333333333298</v>
      </c>
      <c r="B3">
        <v>0.33333333333333298</v>
      </c>
    </row>
    <row r="4" spans="1:2" x14ac:dyDescent="0.25">
      <c r="A4">
        <v>0.33333333333333298</v>
      </c>
      <c r="B4">
        <v>0.16666666666666699</v>
      </c>
    </row>
    <row r="5" spans="1:2" x14ac:dyDescent="0.25">
      <c r="A5">
        <v>0.25</v>
      </c>
      <c r="B5">
        <v>0.5</v>
      </c>
    </row>
    <row r="6" spans="1:2" x14ac:dyDescent="0.25">
      <c r="A6">
        <v>9.0909090909090898E-2</v>
      </c>
      <c r="B6">
        <v>0.27272727272727298</v>
      </c>
    </row>
    <row r="7" spans="1:2" x14ac:dyDescent="0.25">
      <c r="A7">
        <v>1</v>
      </c>
      <c r="B7">
        <v>0</v>
      </c>
    </row>
    <row r="8" spans="1:2" x14ac:dyDescent="0.25">
      <c r="A8">
        <v>0.25</v>
      </c>
      <c r="B8">
        <v>0.5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CF88-E804-4B88-BEB4-AE3DE5D461EA}">
  <dimension ref="B1:H52"/>
  <sheetViews>
    <sheetView workbookViewId="0">
      <selection activeCell="H1" sqref="D1:H16"/>
    </sheetView>
  </sheetViews>
  <sheetFormatPr baseColWidth="10" defaultRowHeight="15" x14ac:dyDescent="0.25"/>
  <sheetData>
    <row r="1" spans="2:8" x14ac:dyDescent="0.25">
      <c r="B1">
        <v>1</v>
      </c>
      <c r="D1" t="s">
        <v>340</v>
      </c>
      <c r="E1" t="s">
        <v>341</v>
      </c>
      <c r="F1" t="s">
        <v>342</v>
      </c>
      <c r="G1" t="s">
        <v>343</v>
      </c>
      <c r="H1" t="s">
        <v>344</v>
      </c>
    </row>
    <row r="2" spans="2:8" x14ac:dyDescent="0.25">
      <c r="B2">
        <v>1</v>
      </c>
      <c r="D2">
        <v>16.6666666666667</v>
      </c>
      <c r="E2">
        <v>20</v>
      </c>
      <c r="F2">
        <v>8.8235294117647101</v>
      </c>
      <c r="G2">
        <v>33.3333333333333</v>
      </c>
      <c r="H2">
        <v>40</v>
      </c>
    </row>
    <row r="3" spans="2:8" x14ac:dyDescent="0.25">
      <c r="B3">
        <v>1</v>
      </c>
      <c r="D3">
        <v>25</v>
      </c>
      <c r="E3">
        <v>0</v>
      </c>
      <c r="F3">
        <v>0</v>
      </c>
      <c r="G3">
        <v>0</v>
      </c>
      <c r="H3">
        <v>0</v>
      </c>
    </row>
    <row r="4" spans="2:8" x14ac:dyDescent="0.25">
      <c r="B4">
        <v>1</v>
      </c>
      <c r="D4">
        <v>17.647058823529399</v>
      </c>
      <c r="E4">
        <v>40</v>
      </c>
      <c r="F4">
        <v>40</v>
      </c>
      <c r="G4">
        <v>0</v>
      </c>
      <c r="H4">
        <v>0</v>
      </c>
    </row>
    <row r="5" spans="2:8" x14ac:dyDescent="0.25">
      <c r="B5">
        <v>1</v>
      </c>
      <c r="D5">
        <v>55.5555555555556</v>
      </c>
      <c r="E5">
        <v>4.3478260869565197</v>
      </c>
      <c r="F5">
        <v>7.4074074074074101</v>
      </c>
      <c r="G5">
        <v>40</v>
      </c>
      <c r="H5">
        <v>0</v>
      </c>
    </row>
    <row r="6" spans="2:8" x14ac:dyDescent="0.25">
      <c r="B6">
        <v>1</v>
      </c>
      <c r="D6">
        <v>21.428571428571399</v>
      </c>
      <c r="E6">
        <v>6.25</v>
      </c>
      <c r="F6">
        <v>0</v>
      </c>
      <c r="G6">
        <v>13.7931034482759</v>
      </c>
      <c r="H6">
        <v>0</v>
      </c>
    </row>
    <row r="7" spans="2:8" x14ac:dyDescent="0.25">
      <c r="B7">
        <v>1</v>
      </c>
      <c r="D7">
        <v>45.8333333333333</v>
      </c>
      <c r="E7">
        <v>57.142857142857103</v>
      </c>
      <c r="F7">
        <v>7.6923076923076898</v>
      </c>
      <c r="G7">
        <v>30.769230769230798</v>
      </c>
      <c r="H7">
        <v>4.3478260869565197</v>
      </c>
    </row>
    <row r="8" spans="2:8" x14ac:dyDescent="0.25">
      <c r="B8">
        <v>2</v>
      </c>
      <c r="D8">
        <v>81.25</v>
      </c>
      <c r="E8">
        <v>7.6923076923076898</v>
      </c>
      <c r="F8">
        <v>0</v>
      </c>
      <c r="G8">
        <v>8</v>
      </c>
      <c r="H8">
        <v>11.764705882352899</v>
      </c>
    </row>
    <row r="9" spans="2:8" x14ac:dyDescent="0.25">
      <c r="B9">
        <v>2</v>
      </c>
      <c r="E9">
        <v>9.0909090909090899</v>
      </c>
      <c r="G9">
        <v>0</v>
      </c>
      <c r="H9">
        <v>33.3333333333333</v>
      </c>
    </row>
    <row r="10" spans="2:8" x14ac:dyDescent="0.25">
      <c r="B10">
        <v>2</v>
      </c>
      <c r="E10">
        <v>9.2307692307692299</v>
      </c>
      <c r="G10">
        <v>4.7619047619047601</v>
      </c>
      <c r="H10">
        <v>0</v>
      </c>
    </row>
    <row r="11" spans="2:8" x14ac:dyDescent="0.25">
      <c r="B11">
        <v>2</v>
      </c>
      <c r="E11">
        <v>50</v>
      </c>
      <c r="G11">
        <v>25</v>
      </c>
      <c r="H11">
        <v>0</v>
      </c>
    </row>
    <row r="12" spans="2:8" x14ac:dyDescent="0.25">
      <c r="B12">
        <v>2</v>
      </c>
      <c r="E12">
        <v>54.545454545454497</v>
      </c>
      <c r="G12">
        <v>20</v>
      </c>
      <c r="H12">
        <v>0</v>
      </c>
    </row>
    <row r="13" spans="2:8" x14ac:dyDescent="0.25">
      <c r="B13">
        <v>2</v>
      </c>
      <c r="G13">
        <v>100</v>
      </c>
      <c r="H13">
        <v>25.714285714285701</v>
      </c>
    </row>
    <row r="14" spans="2:8" x14ac:dyDescent="0.25">
      <c r="B14">
        <v>2</v>
      </c>
      <c r="G14">
        <v>70</v>
      </c>
      <c r="H14">
        <v>0</v>
      </c>
    </row>
    <row r="15" spans="2:8" x14ac:dyDescent="0.25">
      <c r="B15">
        <v>2</v>
      </c>
      <c r="H15">
        <v>33.3333333333333</v>
      </c>
    </row>
    <row r="16" spans="2:8" x14ac:dyDescent="0.25">
      <c r="B16">
        <v>2</v>
      </c>
    </row>
    <row r="17" spans="2:2" x14ac:dyDescent="0.25">
      <c r="B17">
        <v>2</v>
      </c>
    </row>
    <row r="18" spans="2:2" x14ac:dyDescent="0.25">
      <c r="B18">
        <v>2</v>
      </c>
    </row>
    <row r="19" spans="2:2" x14ac:dyDescent="0.25">
      <c r="B19">
        <v>3</v>
      </c>
    </row>
    <row r="20" spans="2:2" x14ac:dyDescent="0.25">
      <c r="B20">
        <v>3</v>
      </c>
    </row>
    <row r="21" spans="2:2" x14ac:dyDescent="0.25">
      <c r="B21">
        <v>3</v>
      </c>
    </row>
    <row r="22" spans="2:2" x14ac:dyDescent="0.25">
      <c r="B22">
        <v>3</v>
      </c>
    </row>
    <row r="23" spans="2:2" x14ac:dyDescent="0.25">
      <c r="B23">
        <v>3</v>
      </c>
    </row>
    <row r="24" spans="2:2" x14ac:dyDescent="0.25">
      <c r="B24">
        <v>3</v>
      </c>
    </row>
    <row r="25" spans="2:2" x14ac:dyDescent="0.25">
      <c r="B25">
        <v>3</v>
      </c>
    </row>
    <row r="26" spans="2:2" x14ac:dyDescent="0.25">
      <c r="B26">
        <v>4</v>
      </c>
    </row>
    <row r="27" spans="2:2" x14ac:dyDescent="0.25">
      <c r="B27">
        <v>4</v>
      </c>
    </row>
    <row r="28" spans="2:2" x14ac:dyDescent="0.25">
      <c r="B28">
        <v>4</v>
      </c>
    </row>
    <row r="29" spans="2:2" x14ac:dyDescent="0.25">
      <c r="B29">
        <v>4</v>
      </c>
    </row>
    <row r="30" spans="2:2" x14ac:dyDescent="0.25">
      <c r="B30">
        <v>4</v>
      </c>
    </row>
    <row r="31" spans="2:2" x14ac:dyDescent="0.25">
      <c r="B31">
        <v>4</v>
      </c>
    </row>
    <row r="32" spans="2:2" x14ac:dyDescent="0.25">
      <c r="B32">
        <v>4</v>
      </c>
    </row>
    <row r="33" spans="2:2" x14ac:dyDescent="0.25">
      <c r="B33">
        <v>4</v>
      </c>
    </row>
    <row r="34" spans="2:2" x14ac:dyDescent="0.25">
      <c r="B34">
        <v>4</v>
      </c>
    </row>
    <row r="35" spans="2:2" x14ac:dyDescent="0.25">
      <c r="B35">
        <v>4</v>
      </c>
    </row>
    <row r="36" spans="2:2" x14ac:dyDescent="0.25">
      <c r="B36">
        <v>4</v>
      </c>
    </row>
    <row r="37" spans="2:2" x14ac:dyDescent="0.25">
      <c r="B37">
        <v>4</v>
      </c>
    </row>
    <row r="38" spans="2:2" x14ac:dyDescent="0.25">
      <c r="B38">
        <v>4</v>
      </c>
    </row>
    <row r="39" spans="2:2" x14ac:dyDescent="0.25">
      <c r="B39">
        <v>5</v>
      </c>
    </row>
    <row r="40" spans="2:2" x14ac:dyDescent="0.25">
      <c r="B40">
        <v>5</v>
      </c>
    </row>
    <row r="41" spans="2:2" x14ac:dyDescent="0.25">
      <c r="B41">
        <v>5</v>
      </c>
    </row>
    <row r="42" spans="2:2" x14ac:dyDescent="0.25">
      <c r="B42">
        <v>5</v>
      </c>
    </row>
    <row r="43" spans="2:2" x14ac:dyDescent="0.25">
      <c r="B43">
        <v>5</v>
      </c>
    </row>
    <row r="44" spans="2:2" x14ac:dyDescent="0.25">
      <c r="B44">
        <v>5</v>
      </c>
    </row>
    <row r="45" spans="2:2" x14ac:dyDescent="0.25">
      <c r="B45">
        <v>5</v>
      </c>
    </row>
    <row r="46" spans="2:2" x14ac:dyDescent="0.25">
      <c r="B46">
        <v>5</v>
      </c>
    </row>
    <row r="47" spans="2:2" x14ac:dyDescent="0.25">
      <c r="B47">
        <v>5</v>
      </c>
    </row>
    <row r="48" spans="2:2" x14ac:dyDescent="0.25">
      <c r="B48">
        <v>5</v>
      </c>
    </row>
    <row r="49" spans="2:2" x14ac:dyDescent="0.25">
      <c r="B49">
        <v>5</v>
      </c>
    </row>
    <row r="50" spans="2:2" x14ac:dyDescent="0.25">
      <c r="B50">
        <v>6</v>
      </c>
    </row>
    <row r="51" spans="2:2" x14ac:dyDescent="0.25">
      <c r="B51">
        <v>6</v>
      </c>
    </row>
    <row r="52" spans="2:2" x14ac:dyDescent="0.25">
      <c r="B52">
        <v>6</v>
      </c>
    </row>
  </sheetData>
  <phoneticPr fontId="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971F-A96A-4181-8001-D22083D886BD}">
  <dimension ref="A1:P78"/>
  <sheetViews>
    <sheetView workbookViewId="0">
      <selection activeCell="L2" sqref="L2:P7"/>
    </sheetView>
  </sheetViews>
  <sheetFormatPr baseColWidth="10" defaultRowHeight="15" x14ac:dyDescent="0.25"/>
  <cols>
    <col min="1" max="1" width="4.140625" bestFit="1" customWidth="1"/>
    <col min="2" max="2" width="11.42578125" style="24"/>
    <col min="14" max="14" width="11.7109375" customWidth="1"/>
  </cols>
  <sheetData>
    <row r="1" spans="1:16" x14ac:dyDescent="0.25">
      <c r="A1" s="6" t="s">
        <v>1</v>
      </c>
      <c r="B1" s="23" t="s">
        <v>181</v>
      </c>
      <c r="C1" s="6" t="s">
        <v>193</v>
      </c>
      <c r="D1" s="6" t="s">
        <v>182</v>
      </c>
      <c r="E1" s="1"/>
    </row>
    <row r="2" spans="1:16" x14ac:dyDescent="0.25">
      <c r="A2" s="3">
        <v>15</v>
      </c>
      <c r="B2" s="20">
        <v>13</v>
      </c>
      <c r="C2" s="3">
        <v>6</v>
      </c>
      <c r="D2" s="4">
        <v>3</v>
      </c>
      <c r="E2" s="48"/>
      <c r="L2" s="27" t="s">
        <v>360</v>
      </c>
      <c r="M2" s="27" t="s">
        <v>352</v>
      </c>
      <c r="N2" s="27" t="s">
        <v>351</v>
      </c>
      <c r="O2" s="27" t="s">
        <v>353</v>
      </c>
      <c r="P2" s="27" t="s">
        <v>182</v>
      </c>
    </row>
    <row r="3" spans="1:16" x14ac:dyDescent="0.25">
      <c r="A3" s="5">
        <v>15</v>
      </c>
      <c r="B3" s="19">
        <v>17</v>
      </c>
      <c r="C3" s="5">
        <v>17</v>
      </c>
      <c r="D3" s="9">
        <v>7</v>
      </c>
      <c r="E3" s="49"/>
      <c r="L3" s="27" t="s">
        <v>356</v>
      </c>
      <c r="M3" s="27">
        <v>12</v>
      </c>
      <c r="N3" s="27">
        <v>180</v>
      </c>
      <c r="O3" s="27">
        <v>142</v>
      </c>
      <c r="P3" s="27">
        <v>86</v>
      </c>
    </row>
    <row r="4" spans="1:16" x14ac:dyDescent="0.25">
      <c r="A4" s="3">
        <v>15</v>
      </c>
      <c r="B4" s="20">
        <v>32</v>
      </c>
      <c r="C4" s="3">
        <v>24</v>
      </c>
      <c r="D4" s="4">
        <v>19</v>
      </c>
      <c r="E4" s="48"/>
      <c r="L4" s="27" t="s">
        <v>357</v>
      </c>
      <c r="M4" s="27">
        <v>12</v>
      </c>
      <c r="N4" s="27">
        <v>345</v>
      </c>
      <c r="O4" s="27">
        <v>274</v>
      </c>
      <c r="P4" s="27">
        <v>54</v>
      </c>
    </row>
    <row r="5" spans="1:16" x14ac:dyDescent="0.25">
      <c r="A5" s="5">
        <v>16</v>
      </c>
      <c r="B5" s="19">
        <v>4</v>
      </c>
      <c r="C5" s="5">
        <v>4</v>
      </c>
      <c r="D5" s="9">
        <v>3</v>
      </c>
      <c r="E5" s="49"/>
      <c r="L5" s="27" t="s">
        <v>286</v>
      </c>
      <c r="M5" s="27">
        <v>12</v>
      </c>
      <c r="N5" s="27">
        <v>255</v>
      </c>
      <c r="O5" s="27">
        <v>173</v>
      </c>
      <c r="P5" s="27">
        <v>58</v>
      </c>
    </row>
    <row r="6" spans="1:16" x14ac:dyDescent="0.25">
      <c r="A6" s="3">
        <v>16</v>
      </c>
      <c r="B6" s="20">
        <v>9</v>
      </c>
      <c r="C6" s="3">
        <v>9</v>
      </c>
      <c r="D6" s="4">
        <v>6</v>
      </c>
      <c r="E6" s="48"/>
      <c r="L6" s="27" t="s">
        <v>358</v>
      </c>
      <c r="M6" s="27">
        <v>10</v>
      </c>
      <c r="N6" s="27">
        <v>222</v>
      </c>
      <c r="O6" s="27">
        <v>153</v>
      </c>
      <c r="P6" s="27">
        <v>49</v>
      </c>
    </row>
    <row r="7" spans="1:16" x14ac:dyDescent="0.25">
      <c r="A7" s="5">
        <v>16</v>
      </c>
      <c r="B7" s="19">
        <v>15</v>
      </c>
      <c r="C7" s="5">
        <v>14</v>
      </c>
      <c r="D7" s="9">
        <v>6</v>
      </c>
      <c r="E7" s="49"/>
      <c r="L7" s="27" t="s">
        <v>359</v>
      </c>
      <c r="M7" s="27">
        <f>SUM(M3:M6)</f>
        <v>46</v>
      </c>
      <c r="N7" s="27">
        <f t="shared" ref="N7:P7" si="0">SUM(N3:N6)</f>
        <v>1002</v>
      </c>
      <c r="O7" s="27">
        <f t="shared" si="0"/>
        <v>742</v>
      </c>
      <c r="P7" s="27">
        <f t="shared" si="0"/>
        <v>247</v>
      </c>
    </row>
    <row r="8" spans="1:16" x14ac:dyDescent="0.25">
      <c r="A8" s="5">
        <v>16</v>
      </c>
      <c r="B8" s="19">
        <v>22</v>
      </c>
      <c r="C8" s="5">
        <v>16</v>
      </c>
      <c r="D8" s="9">
        <v>16</v>
      </c>
      <c r="E8" s="49"/>
    </row>
    <row r="9" spans="1:16" x14ac:dyDescent="0.25">
      <c r="A9" s="5">
        <v>16</v>
      </c>
      <c r="B9" s="25">
        <v>0</v>
      </c>
      <c r="C9" s="5"/>
      <c r="D9" s="5">
        <v>0</v>
      </c>
      <c r="E9" s="50"/>
    </row>
    <row r="10" spans="1:16" x14ac:dyDescent="0.25">
      <c r="A10" s="5">
        <v>17</v>
      </c>
      <c r="B10" s="19">
        <v>7</v>
      </c>
      <c r="C10" s="5">
        <v>5</v>
      </c>
      <c r="D10" s="9">
        <v>2</v>
      </c>
      <c r="E10" s="49"/>
    </row>
    <row r="11" spans="1:16" x14ac:dyDescent="0.25">
      <c r="A11" s="3">
        <v>17</v>
      </c>
      <c r="B11" s="20">
        <v>7</v>
      </c>
      <c r="C11" s="3">
        <v>7</v>
      </c>
      <c r="D11" s="4">
        <v>5</v>
      </c>
      <c r="E11" s="48"/>
    </row>
    <row r="12" spans="1:16" x14ac:dyDescent="0.25">
      <c r="A12" s="3">
        <v>17</v>
      </c>
      <c r="B12" s="20">
        <v>24</v>
      </c>
      <c r="C12" s="3">
        <v>12</v>
      </c>
      <c r="D12" s="4">
        <v>10</v>
      </c>
      <c r="E12" s="48"/>
    </row>
    <row r="13" spans="1:16" x14ac:dyDescent="0.25">
      <c r="A13" s="5">
        <v>17</v>
      </c>
      <c r="B13" s="19">
        <v>13</v>
      </c>
      <c r="C13" s="5">
        <v>13</v>
      </c>
      <c r="D13" s="9">
        <v>1</v>
      </c>
      <c r="E13" s="49"/>
    </row>
    <row r="14" spans="1:16" x14ac:dyDescent="0.25">
      <c r="A14" s="5">
        <v>17</v>
      </c>
      <c r="B14" s="19">
        <v>17</v>
      </c>
      <c r="C14" s="5">
        <v>15</v>
      </c>
      <c r="D14" s="9">
        <v>8</v>
      </c>
      <c r="E14" s="9" t="s">
        <v>352</v>
      </c>
      <c r="F14" s="3" t="s">
        <v>351</v>
      </c>
      <c r="G14" s="3" t="s">
        <v>353</v>
      </c>
      <c r="H14" s="3" t="s">
        <v>182</v>
      </c>
    </row>
    <row r="15" spans="1:16" x14ac:dyDescent="0.25">
      <c r="A15" s="3">
        <v>17</v>
      </c>
      <c r="B15" s="21">
        <v>0</v>
      </c>
      <c r="C15" s="3"/>
      <c r="D15" s="3">
        <v>0</v>
      </c>
      <c r="E15" s="3">
        <f>COUNTA(D2:D15)-COUNTIF(D2:D15,"=0")</f>
        <v>12</v>
      </c>
      <c r="F15" s="3">
        <f>SUM(B2:B15)</f>
        <v>180</v>
      </c>
      <c r="G15" s="3">
        <f t="shared" ref="G15:H15" si="1">SUM(C2:C15)</f>
        <v>142</v>
      </c>
      <c r="H15" s="3">
        <f t="shared" si="1"/>
        <v>86</v>
      </c>
    </row>
    <row r="16" spans="1:16" x14ac:dyDescent="0.25">
      <c r="A16" s="3">
        <v>18</v>
      </c>
      <c r="B16" s="20">
        <v>7</v>
      </c>
      <c r="C16" s="3">
        <v>1</v>
      </c>
      <c r="D16" s="4">
        <v>1</v>
      </c>
      <c r="E16" s="48"/>
    </row>
    <row r="17" spans="1:5" x14ac:dyDescent="0.25">
      <c r="A17" s="3">
        <v>18</v>
      </c>
      <c r="B17" s="20">
        <v>16</v>
      </c>
      <c r="C17" s="3">
        <v>11</v>
      </c>
      <c r="D17" s="4">
        <v>5</v>
      </c>
      <c r="E17" s="48"/>
    </row>
    <row r="18" spans="1:5" x14ac:dyDescent="0.25">
      <c r="A18" s="5">
        <v>18</v>
      </c>
      <c r="B18" s="19">
        <v>13</v>
      </c>
      <c r="C18" s="5">
        <v>11</v>
      </c>
      <c r="D18" s="9">
        <v>7</v>
      </c>
      <c r="E18" s="49"/>
    </row>
    <row r="19" spans="1:5" x14ac:dyDescent="0.25">
      <c r="A19" s="3">
        <v>18</v>
      </c>
      <c r="B19" s="20">
        <v>25</v>
      </c>
      <c r="C19" s="3">
        <v>23</v>
      </c>
      <c r="D19" s="4">
        <v>2</v>
      </c>
      <c r="E19" s="48"/>
    </row>
    <row r="20" spans="1:5" x14ac:dyDescent="0.25">
      <c r="A20" s="3">
        <v>18</v>
      </c>
      <c r="B20" s="20">
        <v>38</v>
      </c>
      <c r="C20" s="3">
        <v>32</v>
      </c>
      <c r="D20" s="4">
        <v>2</v>
      </c>
      <c r="E20" s="48"/>
    </row>
    <row r="21" spans="1:5" x14ac:dyDescent="0.25">
      <c r="A21" s="5">
        <v>18</v>
      </c>
      <c r="B21" s="19">
        <v>68</v>
      </c>
      <c r="C21" s="5">
        <v>65</v>
      </c>
      <c r="D21" s="9">
        <v>10</v>
      </c>
      <c r="E21" s="49"/>
    </row>
    <row r="22" spans="1:5" x14ac:dyDescent="0.25">
      <c r="A22" s="5">
        <v>18</v>
      </c>
      <c r="B22" s="25">
        <v>0</v>
      </c>
      <c r="C22" s="5"/>
      <c r="D22" s="5">
        <v>0</v>
      </c>
      <c r="E22" s="50"/>
    </row>
    <row r="23" spans="1:5" x14ac:dyDescent="0.25">
      <c r="A23" s="3">
        <v>19</v>
      </c>
      <c r="B23" s="20">
        <v>4</v>
      </c>
      <c r="C23" s="3">
        <v>4</v>
      </c>
      <c r="D23" s="3">
        <v>0</v>
      </c>
      <c r="E23" s="27"/>
    </row>
    <row r="24" spans="1:5" x14ac:dyDescent="0.25">
      <c r="A24" s="5">
        <v>19</v>
      </c>
      <c r="B24" s="19">
        <v>31</v>
      </c>
      <c r="C24" s="5">
        <v>10</v>
      </c>
      <c r="D24" s="9">
        <v>6</v>
      </c>
      <c r="E24" s="49"/>
    </row>
    <row r="25" spans="1:5" x14ac:dyDescent="0.25">
      <c r="A25" s="5">
        <v>19</v>
      </c>
      <c r="B25" s="19">
        <v>40</v>
      </c>
      <c r="C25" s="5">
        <v>34</v>
      </c>
      <c r="D25" s="9">
        <v>13</v>
      </c>
      <c r="E25" s="49"/>
    </row>
    <row r="26" spans="1:5" x14ac:dyDescent="0.25">
      <c r="A26" s="3">
        <v>20</v>
      </c>
      <c r="B26" s="20">
        <v>24</v>
      </c>
      <c r="C26" s="3">
        <v>13</v>
      </c>
      <c r="D26" s="4">
        <v>1</v>
      </c>
      <c r="E26" s="48"/>
    </row>
    <row r="27" spans="1:5" x14ac:dyDescent="0.25">
      <c r="A27" s="5">
        <v>20</v>
      </c>
      <c r="B27" s="19">
        <v>17</v>
      </c>
      <c r="C27" s="5">
        <v>13</v>
      </c>
      <c r="D27" s="9">
        <v>1</v>
      </c>
      <c r="E27" s="49"/>
    </row>
    <row r="28" spans="1:5" x14ac:dyDescent="0.25">
      <c r="A28" s="3">
        <v>20</v>
      </c>
      <c r="B28" s="20">
        <v>30</v>
      </c>
      <c r="C28" s="3">
        <v>27</v>
      </c>
      <c r="D28" s="4">
        <v>3</v>
      </c>
      <c r="E28" s="48"/>
    </row>
    <row r="29" spans="1:5" x14ac:dyDescent="0.25">
      <c r="A29" s="3">
        <v>20</v>
      </c>
      <c r="B29" s="20">
        <v>31</v>
      </c>
      <c r="C29" s="3">
        <v>30</v>
      </c>
      <c r="D29" s="4">
        <v>3</v>
      </c>
      <c r="E29" s="48"/>
    </row>
    <row r="30" spans="1:5" x14ac:dyDescent="0.25">
      <c r="A30" s="5">
        <v>20</v>
      </c>
      <c r="B30" s="22">
        <v>0</v>
      </c>
      <c r="C30" s="5"/>
      <c r="D30" s="5">
        <v>0</v>
      </c>
      <c r="E30" s="50"/>
    </row>
    <row r="31" spans="1:5" x14ac:dyDescent="0.25">
      <c r="A31" s="3">
        <v>20</v>
      </c>
      <c r="B31" s="21">
        <v>0</v>
      </c>
      <c r="C31" s="3"/>
      <c r="D31" s="3">
        <v>0</v>
      </c>
      <c r="E31" s="27"/>
    </row>
    <row r="32" spans="1:5" x14ac:dyDescent="0.25">
      <c r="A32" s="3">
        <v>20</v>
      </c>
      <c r="B32" s="20">
        <v>1</v>
      </c>
      <c r="C32" s="3"/>
      <c r="D32" s="3">
        <v>0</v>
      </c>
      <c r="E32" s="27"/>
    </row>
    <row r="33" spans="1:8" x14ac:dyDescent="0.25">
      <c r="A33" s="3">
        <v>20</v>
      </c>
      <c r="B33" s="21">
        <v>0</v>
      </c>
      <c r="C33" s="3"/>
      <c r="D33" s="3">
        <v>0</v>
      </c>
      <c r="E33" s="9" t="s">
        <v>352</v>
      </c>
      <c r="F33" s="3" t="s">
        <v>351</v>
      </c>
      <c r="G33" s="3" t="s">
        <v>353</v>
      </c>
      <c r="H33" s="3" t="s">
        <v>182</v>
      </c>
    </row>
    <row r="34" spans="1:8" x14ac:dyDescent="0.25">
      <c r="A34" s="5">
        <v>20</v>
      </c>
      <c r="B34" s="25">
        <v>0</v>
      </c>
      <c r="C34" s="5"/>
      <c r="D34" s="5">
        <v>0</v>
      </c>
      <c r="E34" s="3">
        <f>COUNTA(D16:D34)-COUNTIF(D16:D34,"=0")</f>
        <v>12</v>
      </c>
      <c r="F34" s="3">
        <f>SUM(B16:B34)</f>
        <v>345</v>
      </c>
      <c r="G34" s="3">
        <f t="shared" ref="G34:H34" si="2">SUM(C16:C34)</f>
        <v>274</v>
      </c>
      <c r="H34" s="3">
        <f t="shared" si="2"/>
        <v>54</v>
      </c>
    </row>
    <row r="35" spans="1:8" x14ac:dyDescent="0.25">
      <c r="A35" s="5">
        <v>21</v>
      </c>
      <c r="B35" s="19">
        <v>5</v>
      </c>
      <c r="C35" s="5">
        <v>5</v>
      </c>
      <c r="D35" s="9">
        <v>2</v>
      </c>
      <c r="E35" s="49"/>
    </row>
    <row r="36" spans="1:8" x14ac:dyDescent="0.25">
      <c r="A36" s="3">
        <v>21</v>
      </c>
      <c r="B36" s="20">
        <v>21</v>
      </c>
      <c r="C36" s="3">
        <v>6</v>
      </c>
      <c r="D36" s="4">
        <v>2</v>
      </c>
      <c r="E36" s="48"/>
    </row>
    <row r="37" spans="1:8" x14ac:dyDescent="0.25">
      <c r="A37" s="3">
        <v>21</v>
      </c>
      <c r="B37" s="20">
        <v>13</v>
      </c>
      <c r="C37" s="3">
        <v>8</v>
      </c>
      <c r="D37" s="3">
        <v>0</v>
      </c>
      <c r="E37" s="27"/>
    </row>
    <row r="38" spans="1:8" x14ac:dyDescent="0.25">
      <c r="A38" s="5">
        <v>21</v>
      </c>
      <c r="B38" s="25">
        <v>16</v>
      </c>
      <c r="C38" s="5">
        <v>10</v>
      </c>
      <c r="D38" s="9">
        <v>10</v>
      </c>
      <c r="E38" s="49"/>
    </row>
    <row r="39" spans="1:8" x14ac:dyDescent="0.25">
      <c r="A39" s="5">
        <v>21</v>
      </c>
      <c r="B39" s="19">
        <v>32</v>
      </c>
      <c r="C39" s="5">
        <v>19</v>
      </c>
      <c r="D39" s="9">
        <v>3</v>
      </c>
      <c r="E39" s="49"/>
    </row>
    <row r="40" spans="1:8" x14ac:dyDescent="0.25">
      <c r="A40" s="5">
        <v>21</v>
      </c>
      <c r="B40" s="19">
        <v>30</v>
      </c>
      <c r="C40" s="5">
        <v>20</v>
      </c>
      <c r="D40" s="9">
        <v>12</v>
      </c>
      <c r="E40" s="49"/>
    </row>
    <row r="41" spans="1:8" x14ac:dyDescent="0.25">
      <c r="A41" s="3">
        <v>21</v>
      </c>
      <c r="B41" s="20">
        <v>30</v>
      </c>
      <c r="C41" s="3">
        <v>21</v>
      </c>
      <c r="D41" s="4">
        <v>4</v>
      </c>
      <c r="E41" s="48"/>
    </row>
    <row r="42" spans="1:8" x14ac:dyDescent="0.25">
      <c r="A42" s="3">
        <v>21</v>
      </c>
      <c r="B42" s="20">
        <v>28</v>
      </c>
      <c r="C42" s="3">
        <v>25</v>
      </c>
      <c r="D42" s="4">
        <v>8</v>
      </c>
      <c r="E42" s="48"/>
    </row>
    <row r="43" spans="1:8" x14ac:dyDescent="0.25">
      <c r="A43" s="5">
        <v>21</v>
      </c>
      <c r="B43" s="22">
        <v>0</v>
      </c>
      <c r="C43" s="5"/>
      <c r="D43" s="5">
        <v>0</v>
      </c>
      <c r="E43" s="50"/>
    </row>
    <row r="44" spans="1:8" x14ac:dyDescent="0.25">
      <c r="A44" s="17">
        <v>21</v>
      </c>
      <c r="B44" s="44">
        <v>0</v>
      </c>
      <c r="C44" s="17"/>
      <c r="D44" s="17">
        <v>0</v>
      </c>
      <c r="E44" s="51"/>
    </row>
    <row r="45" spans="1:8" x14ac:dyDescent="0.25">
      <c r="A45" s="5">
        <v>21</v>
      </c>
      <c r="B45" s="19">
        <v>7</v>
      </c>
      <c r="C45" s="5"/>
      <c r="D45" s="5">
        <v>0</v>
      </c>
      <c r="E45" s="50"/>
    </row>
    <row r="46" spans="1:8" x14ac:dyDescent="0.25">
      <c r="A46" s="5">
        <v>22</v>
      </c>
      <c r="B46" s="19">
        <v>7</v>
      </c>
      <c r="C46" s="5">
        <v>4</v>
      </c>
      <c r="D46" s="9">
        <v>1</v>
      </c>
      <c r="E46" s="49"/>
    </row>
    <row r="47" spans="1:8" x14ac:dyDescent="0.25">
      <c r="A47" s="3">
        <v>22</v>
      </c>
      <c r="B47" s="20">
        <v>7</v>
      </c>
      <c r="C47" s="3">
        <v>4</v>
      </c>
      <c r="D47" s="4">
        <v>4</v>
      </c>
      <c r="E47" s="48"/>
    </row>
    <row r="48" spans="1:8" x14ac:dyDescent="0.25">
      <c r="A48" s="5">
        <v>22</v>
      </c>
      <c r="B48" s="19">
        <v>11</v>
      </c>
      <c r="C48" s="5">
        <v>9</v>
      </c>
      <c r="D48" s="9">
        <v>1</v>
      </c>
      <c r="E48" s="49"/>
    </row>
    <row r="49" spans="1:8" x14ac:dyDescent="0.25">
      <c r="A49" s="5">
        <v>22</v>
      </c>
      <c r="B49" s="19">
        <v>14</v>
      </c>
      <c r="C49" s="5">
        <v>13</v>
      </c>
      <c r="D49" s="9">
        <v>7</v>
      </c>
      <c r="E49" s="49"/>
    </row>
    <row r="50" spans="1:8" x14ac:dyDescent="0.25">
      <c r="A50" s="3">
        <v>22</v>
      </c>
      <c r="B50" s="20">
        <v>34</v>
      </c>
      <c r="C50" s="3">
        <v>29</v>
      </c>
      <c r="D50" s="4">
        <v>4</v>
      </c>
      <c r="E50" s="48"/>
    </row>
    <row r="51" spans="1:8" x14ac:dyDescent="0.25">
      <c r="A51" s="3">
        <v>22</v>
      </c>
      <c r="B51" s="26">
        <v>0</v>
      </c>
      <c r="C51" s="3"/>
      <c r="D51" s="3">
        <v>0</v>
      </c>
      <c r="E51" s="27"/>
    </row>
    <row r="52" spans="1:8" x14ac:dyDescent="0.25">
      <c r="A52" s="5">
        <v>22</v>
      </c>
      <c r="B52" s="25">
        <v>0</v>
      </c>
      <c r="C52" s="5"/>
      <c r="D52" s="5">
        <v>0</v>
      </c>
      <c r="E52" s="9" t="s">
        <v>352</v>
      </c>
      <c r="F52" s="3" t="s">
        <v>351</v>
      </c>
      <c r="G52" s="3" t="s">
        <v>353</v>
      </c>
      <c r="H52" s="3" t="s">
        <v>182</v>
      </c>
    </row>
    <row r="53" spans="1:8" x14ac:dyDescent="0.25">
      <c r="A53" s="3">
        <v>22</v>
      </c>
      <c r="B53" s="26">
        <v>0</v>
      </c>
      <c r="C53" s="3"/>
      <c r="D53" s="3">
        <v>0</v>
      </c>
      <c r="E53" s="3">
        <f>COUNTA(D35:D53)-COUNTIF(D35:D53,"=0")</f>
        <v>12</v>
      </c>
      <c r="F53" s="3">
        <f>SUM(B35:B53)</f>
        <v>255</v>
      </c>
      <c r="G53" s="3">
        <f t="shared" ref="G53" si="3">SUM(C35:C53)</f>
        <v>173</v>
      </c>
      <c r="H53" s="3">
        <f t="shared" ref="H53" si="4">SUM(D35:D53)</f>
        <v>58</v>
      </c>
    </row>
    <row r="54" spans="1:8" x14ac:dyDescent="0.25">
      <c r="A54" s="5">
        <v>23</v>
      </c>
      <c r="B54" s="19">
        <v>3</v>
      </c>
      <c r="C54" s="5">
        <v>1</v>
      </c>
      <c r="D54" s="5">
        <v>0</v>
      </c>
      <c r="E54" s="50"/>
    </row>
    <row r="55" spans="1:8" x14ac:dyDescent="0.25">
      <c r="A55" s="3">
        <v>23</v>
      </c>
      <c r="B55" s="20">
        <v>6</v>
      </c>
      <c r="C55" s="3">
        <v>6</v>
      </c>
      <c r="D55" s="3">
        <v>0</v>
      </c>
      <c r="E55" s="27"/>
    </row>
    <row r="56" spans="1:8" x14ac:dyDescent="0.25">
      <c r="A56" s="5">
        <v>23</v>
      </c>
      <c r="B56" s="19">
        <v>17</v>
      </c>
      <c r="C56" s="5">
        <v>7</v>
      </c>
      <c r="D56" s="9">
        <v>1</v>
      </c>
      <c r="E56" s="49"/>
    </row>
    <row r="57" spans="1:8" x14ac:dyDescent="0.25">
      <c r="A57" s="5">
        <v>23</v>
      </c>
      <c r="B57" s="19">
        <v>20</v>
      </c>
      <c r="C57" s="5">
        <v>17</v>
      </c>
      <c r="D57" s="9">
        <v>2</v>
      </c>
      <c r="E57" s="49"/>
    </row>
    <row r="58" spans="1:8" x14ac:dyDescent="0.25">
      <c r="A58" s="3">
        <v>23</v>
      </c>
      <c r="B58" s="20">
        <v>26</v>
      </c>
      <c r="C58" s="3">
        <v>23</v>
      </c>
      <c r="D58" s="4">
        <v>4</v>
      </c>
      <c r="E58" s="48"/>
    </row>
    <row r="59" spans="1:8" x14ac:dyDescent="0.25">
      <c r="A59" s="17">
        <v>23</v>
      </c>
      <c r="B59" s="21">
        <v>0</v>
      </c>
      <c r="C59" s="3"/>
      <c r="D59" s="3">
        <v>0</v>
      </c>
      <c r="E59" s="27"/>
    </row>
    <row r="60" spans="1:8" x14ac:dyDescent="0.25">
      <c r="A60" s="5">
        <v>23</v>
      </c>
      <c r="B60" s="25">
        <v>0</v>
      </c>
      <c r="C60" s="5"/>
      <c r="D60" s="5">
        <v>0</v>
      </c>
      <c r="E60" s="50"/>
    </row>
    <row r="61" spans="1:8" x14ac:dyDescent="0.25">
      <c r="A61" s="3">
        <v>23</v>
      </c>
      <c r="B61" s="26">
        <v>0</v>
      </c>
      <c r="C61" s="3"/>
      <c r="D61" s="3">
        <v>0</v>
      </c>
      <c r="E61" s="27"/>
    </row>
    <row r="62" spans="1:8" x14ac:dyDescent="0.25">
      <c r="A62" s="3">
        <v>23</v>
      </c>
      <c r="B62" s="26">
        <v>0</v>
      </c>
      <c r="C62" s="3"/>
      <c r="D62" s="3">
        <v>0</v>
      </c>
      <c r="E62" s="27"/>
    </row>
    <row r="63" spans="1:8" x14ac:dyDescent="0.25">
      <c r="A63" s="5">
        <v>24</v>
      </c>
      <c r="B63" s="19">
        <v>5</v>
      </c>
      <c r="C63" s="5">
        <v>2</v>
      </c>
      <c r="D63" s="5">
        <v>0</v>
      </c>
      <c r="E63" s="50"/>
    </row>
    <row r="64" spans="1:8" x14ac:dyDescent="0.25">
      <c r="A64" s="3">
        <v>24</v>
      </c>
      <c r="B64" s="20">
        <v>5</v>
      </c>
      <c r="C64" s="3">
        <v>3</v>
      </c>
      <c r="D64" s="3">
        <v>0</v>
      </c>
      <c r="E64" s="27"/>
    </row>
    <row r="65" spans="1:8" x14ac:dyDescent="0.25">
      <c r="A65" s="5">
        <v>24</v>
      </c>
      <c r="B65" s="19">
        <v>9</v>
      </c>
      <c r="C65" s="5">
        <v>3</v>
      </c>
      <c r="D65" s="9">
        <v>1</v>
      </c>
      <c r="E65" s="49"/>
    </row>
    <row r="66" spans="1:8" x14ac:dyDescent="0.25">
      <c r="A66" s="5">
        <v>24</v>
      </c>
      <c r="B66" s="19">
        <v>7</v>
      </c>
      <c r="C66" s="5">
        <v>5</v>
      </c>
      <c r="D66" s="9">
        <v>4</v>
      </c>
      <c r="E66" s="49"/>
    </row>
    <row r="67" spans="1:8" x14ac:dyDescent="0.25">
      <c r="A67" s="5">
        <v>24</v>
      </c>
      <c r="B67" s="19">
        <v>18</v>
      </c>
      <c r="C67" s="5">
        <v>12</v>
      </c>
      <c r="D67" s="9">
        <v>9</v>
      </c>
      <c r="E67" s="49"/>
    </row>
    <row r="68" spans="1:8" x14ac:dyDescent="0.25">
      <c r="A68" s="3">
        <v>24</v>
      </c>
      <c r="B68" s="20">
        <v>25</v>
      </c>
      <c r="C68" s="3">
        <v>24</v>
      </c>
      <c r="D68" s="4">
        <v>1</v>
      </c>
      <c r="E68" s="48"/>
    </row>
    <row r="69" spans="1:8" x14ac:dyDescent="0.25">
      <c r="A69" s="17">
        <v>24</v>
      </c>
      <c r="B69" s="22">
        <v>0</v>
      </c>
      <c r="C69" s="5"/>
      <c r="D69" s="5">
        <v>0</v>
      </c>
      <c r="E69" s="50"/>
    </row>
    <row r="70" spans="1:8" x14ac:dyDescent="0.25">
      <c r="A70" s="5">
        <v>24</v>
      </c>
      <c r="B70" s="25">
        <v>0</v>
      </c>
      <c r="C70" s="5"/>
      <c r="D70" s="5">
        <v>0</v>
      </c>
      <c r="E70" s="50"/>
    </row>
    <row r="71" spans="1:8" x14ac:dyDescent="0.25">
      <c r="A71" s="3">
        <v>25</v>
      </c>
      <c r="B71" s="20">
        <v>11</v>
      </c>
      <c r="C71" s="3">
        <v>3</v>
      </c>
      <c r="D71" s="4">
        <v>1</v>
      </c>
      <c r="E71" s="48"/>
    </row>
    <row r="72" spans="1:8" x14ac:dyDescent="0.25">
      <c r="A72" s="3">
        <v>25</v>
      </c>
      <c r="B72" s="20">
        <v>15</v>
      </c>
      <c r="C72" s="3">
        <v>12</v>
      </c>
      <c r="D72" s="4">
        <v>2</v>
      </c>
      <c r="E72" s="48"/>
    </row>
    <row r="73" spans="1:8" x14ac:dyDescent="0.25">
      <c r="A73" s="3">
        <v>25</v>
      </c>
      <c r="B73" s="20">
        <v>55</v>
      </c>
      <c r="C73" s="3">
        <v>35</v>
      </c>
      <c r="D73" s="4">
        <v>24</v>
      </c>
      <c r="E73" s="9" t="s">
        <v>352</v>
      </c>
      <c r="F73" s="3" t="s">
        <v>351</v>
      </c>
      <c r="G73" s="3" t="s">
        <v>353</v>
      </c>
      <c r="H73" s="3" t="s">
        <v>182</v>
      </c>
    </row>
    <row r="74" spans="1:8" x14ac:dyDescent="0.25">
      <c r="A74" s="17">
        <v>25</v>
      </c>
      <c r="B74" s="44">
        <v>0</v>
      </c>
      <c r="C74" s="17"/>
      <c r="D74" s="17">
        <v>0</v>
      </c>
      <c r="E74" s="3">
        <f>COUNTA(D54:D74)-COUNTIF(D54:D74,"=0")</f>
        <v>10</v>
      </c>
      <c r="F74" s="3">
        <f>SUM(B54:B74)</f>
        <v>222</v>
      </c>
      <c r="G74" s="3">
        <f>SUM(C54:C74)</f>
        <v>153</v>
      </c>
      <c r="H74" s="3">
        <f t="shared" ref="H74" si="5">SUM(D54:D74)</f>
        <v>49</v>
      </c>
    </row>
    <row r="75" spans="1:8" x14ac:dyDescent="0.25">
      <c r="A75" s="5">
        <v>60</v>
      </c>
      <c r="B75" s="22">
        <v>0</v>
      </c>
      <c r="C75" s="5"/>
      <c r="D75" s="5">
        <v>0</v>
      </c>
      <c r="E75" s="50"/>
    </row>
    <row r="76" spans="1:8" x14ac:dyDescent="0.25">
      <c r="A76" s="5">
        <v>60</v>
      </c>
      <c r="B76" s="22">
        <v>0</v>
      </c>
      <c r="C76" s="5"/>
      <c r="D76" s="5">
        <v>0</v>
      </c>
      <c r="E76" s="50"/>
    </row>
    <row r="77" spans="1:8" x14ac:dyDescent="0.25">
      <c r="A77" s="3">
        <v>60</v>
      </c>
      <c r="B77" s="21">
        <v>0</v>
      </c>
      <c r="C77" s="3"/>
      <c r="D77" s="3">
        <v>0</v>
      </c>
      <c r="E77" s="27"/>
    </row>
    <row r="78" spans="1:8" x14ac:dyDescent="0.25">
      <c r="A78" s="3">
        <v>60</v>
      </c>
      <c r="B78" s="21">
        <v>0</v>
      </c>
      <c r="C78" s="3"/>
      <c r="D78" s="3">
        <v>0</v>
      </c>
      <c r="E78" s="2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Feuil7</vt:lpstr>
      <vt:lpstr>Feuil2</vt:lpstr>
      <vt:lpstr>Feuil3</vt:lpstr>
      <vt:lpstr>Feuil4</vt:lpstr>
      <vt:lpstr>Feuil5</vt:lpstr>
      <vt:lpstr>Feuil6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SUIRE Vinca</dc:creator>
  <cp:lastModifiedBy>SUIRE Vinca</cp:lastModifiedBy>
  <cp:lastPrinted>2025-10-08T13:55:49Z</cp:lastPrinted>
  <dcterms:created xsi:type="dcterms:W3CDTF">2025-07-08T07:04:04Z</dcterms:created>
  <dcterms:modified xsi:type="dcterms:W3CDTF">2026-02-13T12:48:40Z</dcterms:modified>
</cp:coreProperties>
</file>